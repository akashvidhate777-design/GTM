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amp; Sequences" sheetId="1" state="visible" r:id="rId1"/>
    <sheet name="Campaign Report" sheetId="2" state="visible" r:id="rId2"/>
    <sheet name="Config" sheetId="3" state="visible" r:id="rId3"/>
  </sheets>
  <definedNames>
    <definedName name="_xlnm._FilterDatabase" localSheetId="0" hidden="1">'Leads &amp; Sequences'!$A$1:$AF$177</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font>
    <font>
      <b val="1"/>
      <sz val="14"/>
    </font>
    <font>
      <b val="1"/>
      <color rgb="001F3864"/>
      <sz val="12"/>
    </font>
    <font>
      <b val="1"/>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E4C4"/>
      </patternFill>
    </fill>
    <fill>
      <patternFill patternType="solid">
        <fgColor rgb="00F2F2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7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34" customWidth="1" min="3" max="3"/>
    <col width="28" customWidth="1" min="4" max="4"/>
    <col width="30" customWidth="1" min="5" max="5"/>
    <col width="15" customWidth="1" min="6" max="6"/>
    <col width="15" customWidth="1" min="7" max="7"/>
    <col width="34" customWidth="1" min="8" max="8"/>
    <col width="24" customWidth="1" min="9" max="9"/>
    <col width="15" customWidth="1" min="10" max="10"/>
    <col width="15" customWidth="1" min="11" max="11"/>
    <col width="15" customWidth="1" min="12" max="12"/>
    <col width="15" customWidth="1" min="13" max="13"/>
    <col width="15" customWidth="1" min="14" max="14"/>
    <col width="15" customWidth="1" min="15" max="15"/>
    <col width="24" customWidth="1" min="16" max="16"/>
    <col width="30" customWidth="1" min="17" max="17"/>
    <col width="30" customWidth="1" min="18" max="18"/>
    <col width="50" customWidth="1" min="19" max="19"/>
    <col width="50" customWidth="1" min="20" max="20"/>
    <col width="50" customWidth="1" min="21" max="21"/>
    <col width="34" customWidth="1" min="22" max="22"/>
    <col width="60" customWidth="1" min="23" max="23"/>
    <col width="34" customWidth="1" min="24" max="24"/>
    <col width="60" customWidth="1" min="25" max="25"/>
    <col width="34" customWidth="1" min="26" max="26"/>
    <col width="60" customWidth="1" min="27" max="27"/>
    <col width="16" customWidth="1" min="28" max="28"/>
    <col width="15" customWidth="1" min="29" max="29"/>
    <col width="15" customWidth="1" min="30" max="30"/>
    <col width="15" customWidth="1" min="31" max="31"/>
    <col width="30" customWidth="1" min="32" max="32"/>
  </cols>
  <sheetData>
    <row r="1">
      <c r="A1" s="1" t="inlineStr">
        <is>
          <t>First Name</t>
        </is>
      </c>
      <c r="B1" s="1" t="inlineStr">
        <is>
          <t>Last Name</t>
        </is>
      </c>
      <c r="C1" s="1" t="inlineStr">
        <is>
          <t>Title</t>
        </is>
      </c>
      <c r="D1" s="1" t="inlineStr">
        <is>
          <t>Company</t>
        </is>
      </c>
      <c r="E1" s="1" t="inlineStr">
        <is>
          <t>Email</t>
        </is>
      </c>
      <c r="F1" s="1" t="inlineStr">
        <is>
          <t># Employees</t>
        </is>
      </c>
      <c r="G1" s="1" t="inlineStr">
        <is>
          <t>Industry</t>
        </is>
      </c>
      <c r="H1" s="1" t="inlineStr">
        <is>
          <t>Person Linkedin Url</t>
        </is>
      </c>
      <c r="I1" s="1" t="inlineStr">
        <is>
          <t>Website</t>
        </is>
      </c>
      <c r="J1" s="1" t="inlineStr">
        <is>
          <t>City</t>
        </is>
      </c>
      <c r="K1" s="1" t="inlineStr">
        <is>
          <t>State</t>
        </is>
      </c>
      <c r="L1" s="1" t="inlineStr">
        <is>
          <t>Country</t>
        </is>
      </c>
      <c r="M1" s="1" t="inlineStr">
        <is>
          <t>Annual Revenue</t>
        </is>
      </c>
      <c r="N1" s="1" t="inlineStr">
        <is>
          <t>Lead Score</t>
        </is>
      </c>
      <c r="O1" s="1" t="inlineStr">
        <is>
          <t>Lead Grade</t>
        </is>
      </c>
      <c r="P1" s="1" t="inlineStr">
        <is>
          <t>ICP Tier</t>
        </is>
      </c>
      <c r="Q1" s="1" t="inlineStr">
        <is>
          <t>Persona</t>
        </is>
      </c>
      <c r="R1" s="1" t="inlineStr">
        <is>
          <t>News Signal</t>
        </is>
      </c>
      <c r="S1" s="1" t="inlineStr">
        <is>
          <t>LinkedIn Connection Message</t>
        </is>
      </c>
      <c r="T1" s="1" t="inlineStr">
        <is>
          <t>LinkedIn Follow-Up 1</t>
        </is>
      </c>
      <c r="U1" s="1" t="inlineStr">
        <is>
          <t>LinkedIn Follow-Up 2</t>
        </is>
      </c>
      <c r="V1" s="1" t="inlineStr">
        <is>
          <t>Email 1 Subject</t>
        </is>
      </c>
      <c r="W1" s="1" t="inlineStr">
        <is>
          <t>Email 1 Body</t>
        </is>
      </c>
      <c r="X1" s="1" t="inlineStr">
        <is>
          <t>Email 2 Subject</t>
        </is>
      </c>
      <c r="Y1" s="1" t="inlineStr">
        <is>
          <t>Email 2 Body</t>
        </is>
      </c>
      <c r="Z1" s="1" t="inlineStr">
        <is>
          <t>Email 3 Subject</t>
        </is>
      </c>
      <c r="AA1" s="1" t="inlineStr">
        <is>
          <t>Email 3 Body</t>
        </is>
      </c>
      <c r="AB1" s="1" t="inlineStr">
        <is>
          <t>Status</t>
        </is>
      </c>
      <c r="AC1" s="1" t="inlineStr">
        <is>
          <t>Sequence Step</t>
        </is>
      </c>
      <c r="AD1" s="1" t="inlineStr">
        <is>
          <t>Last Touch Date</t>
        </is>
      </c>
      <c r="AE1" s="1" t="inlineStr">
        <is>
          <t>Next Action Date</t>
        </is>
      </c>
      <c r="AF1" s="1" t="inlineStr">
        <is>
          <t>Notes</t>
        </is>
      </c>
    </row>
    <row r="2">
      <c r="A2" t="inlineStr">
        <is>
          <t>Venu</t>
        </is>
      </c>
      <c r="B2" t="inlineStr">
        <is>
          <t>Singaraju</t>
        </is>
      </c>
      <c r="C2" t="inlineStr">
        <is>
          <t>Vice President Information Technology</t>
        </is>
      </c>
      <c r="D2" t="inlineStr">
        <is>
          <t>Travel Food Services Limited (TFS)</t>
        </is>
      </c>
      <c r="E2" t="inlineStr">
        <is>
          <t>venu.singaraju@travelfoodservices.com</t>
        </is>
      </c>
      <c r="F2" t="n">
        <v>2300</v>
      </c>
      <c r="G2" t="inlineStr">
        <is>
          <t>food &amp; beverages</t>
        </is>
      </c>
      <c r="H2" t="inlineStr">
        <is>
          <t>http://www.linkedin.com/in/venu-singaraju-2437a34</t>
        </is>
      </c>
      <c r="I2" t="inlineStr">
        <is>
          <t>https://travelfoodservices.com</t>
        </is>
      </c>
      <c r="J2" t="inlineStr">
        <is>
          <t>Mumbai</t>
        </is>
      </c>
      <c r="K2" t="inlineStr">
        <is>
          <t>Maharashtra</t>
        </is>
      </c>
      <c r="L2" t="inlineStr">
        <is>
          <t>India</t>
        </is>
      </c>
      <c r="M2" t="n">
        <v>193000000</v>
      </c>
      <c r="N2" s="2" t="n">
        <v>100</v>
      </c>
      <c r="O2" s="2" t="inlineStr">
        <is>
          <t>A - Hot</t>
        </is>
      </c>
      <c r="P2" t="inlineStr">
        <is>
          <t>Tier 1 - C-Suite/Founder</t>
        </is>
      </c>
      <c r="Q2" t="inlineStr">
        <is>
          <t>C-Suite/Founder / Ops/Tech/Finance/Commercial</t>
        </is>
      </c>
      <c r="R2" t="inlineStr"/>
      <c r="S2" s="3" t="inlineStr">
        <is>
          <t>Hi Venu, your work as Vice President Information Technology at Travel Food Services Limited (TFS) caught my eye. We build small AI use cases that sit on top of existing ERPs — think adding AI capability without any rip-and-replace of the current ERP. Would be glad to connect.</t>
        </is>
      </c>
      <c r="T2" s="3" t="inlineStr">
        <is>
          <t>Thanks for connecting, Venu. Quick context: we ship expiry-aware replenishment and wastage prediction wired into your ERP. Teams typically start with one narrow use case and see results in weeks, not an ERP-project timeline. Worth a short look for Travel Food Services Limited (TFS)?</t>
        </is>
      </c>
      <c r="U2" s="3" t="inlineStr">
        <is>
          <t>Last note from me, Venu — timing is everything with these projects. If an AI-on-ERP pilot becomes relevant at Travel Food Services Limited (TFS) later, my line's open. Wishing you a strong quarter.</t>
        </is>
      </c>
      <c r="V2" t="inlineStr">
        <is>
          <t>Near-expiry write-offs at Travel Food Services Limited (TFS)?</t>
        </is>
      </c>
      <c r="W2" s="3" t="inlineStr">
        <is>
          <t>Hi Venu,
As Vice President Information Technology at Travel Food Services Limited (TFS),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Travel Food Services Limited (TFS)?
Best,
{{SENDER_NAME}}
{{SENDER_EMAIL}} | Book directly: {{CALENDLY_URL}}
P.S. If this isn't relevant, reply "no thanks" and I won't follow up again.</t>
        </is>
      </c>
      <c r="X2" t="inlineStr">
        <is>
          <t>How teams like Travel Food Services Limited (TFS) start with AI on ERP</t>
        </is>
      </c>
      <c r="Y2" s="3" t="inlineStr">
        <is>
          <t>Hi Venu,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2" t="inlineStr">
        <is>
          <t>Closing the loop, Venu</t>
        </is>
      </c>
      <c r="AA2" s="3" t="inlineStr">
        <is>
          <t>Hi Venu,
I'll close the loop here — inbox zero is sacred.
If near-expiry write-offs and distributor claim reconciliation becomes a priority at Travel Food Services Limited (TFS)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2" t="inlineStr">
        <is>
          <t>Draft</t>
        </is>
      </c>
      <c r="AC2" t="n">
        <v>0</v>
      </c>
      <c r="AD2" t="inlineStr"/>
      <c r="AE2" t="inlineStr"/>
      <c r="AF2" t="inlineStr"/>
    </row>
    <row r="3">
      <c r="A3" t="inlineStr">
        <is>
          <t>Dhaval</t>
        </is>
      </c>
      <c r="B3" t="inlineStr">
        <is>
          <t>Mankad</t>
        </is>
      </c>
      <c r="C3" t="inlineStr">
        <is>
          <t>Vice President - Information Technology</t>
        </is>
      </c>
      <c r="D3" t="inlineStr">
        <is>
          <t>Vadilal Industries Limited</t>
        </is>
      </c>
      <c r="E3" t="inlineStr">
        <is>
          <t>dhaval.mankad@havmor.com</t>
        </is>
      </c>
      <c r="F3" t="n">
        <v>690</v>
      </c>
      <c r="G3" t="inlineStr">
        <is>
          <t>food &amp; beverages</t>
        </is>
      </c>
      <c r="H3" t="inlineStr">
        <is>
          <t>http://www.linkedin.com/in/dhavalmankad</t>
        </is>
      </c>
      <c r="I3" t="inlineStr">
        <is>
          <t>https://vadilalgroup.com</t>
        </is>
      </c>
      <c r="J3" t="inlineStr">
        <is>
          <t>Ahmedabad</t>
        </is>
      </c>
      <c r="K3" t="inlineStr">
        <is>
          <t>Gujarat</t>
        </is>
      </c>
      <c r="L3" t="inlineStr">
        <is>
          <t>India</t>
        </is>
      </c>
      <c r="M3" t="n">
        <v>146901000</v>
      </c>
      <c r="N3" s="2" t="n">
        <v>100</v>
      </c>
      <c r="O3" s="2" t="inlineStr">
        <is>
          <t>A - Hot</t>
        </is>
      </c>
      <c r="P3" t="inlineStr">
        <is>
          <t>Tier 1 - C-Suite/Founder</t>
        </is>
      </c>
      <c r="Q3" t="inlineStr">
        <is>
          <t>C-Suite/Founder / Ops/Tech/Finance/Commercial</t>
        </is>
      </c>
      <c r="R3" t="inlineStr"/>
      <c r="S3" s="3" t="inlineStr">
        <is>
          <t>Hi Dhaval, we help teams like Vadilal Industries Limited's tackle near-expiry write-offs and distributor claim reconciliation with AI add-ons to their existing ERP — no replatforming. Keen to connect and swap notes.</t>
        </is>
      </c>
      <c r="T3" s="3" t="inlineStr">
        <is>
          <t>Thanks for connecting, Dhaval. Quick context: we ship expiry-aware replenishment and wastage prediction wired into your ERP. Teams typically start with one narrow use case and see results in weeks, not an ERP-project timeline. Worth a short look for Vadilal Industries Limited?</t>
        </is>
      </c>
      <c r="U3" s="3" t="inlineStr">
        <is>
          <t>Dhaval, closing the loop so I'm not another unread ping. If it's useful, I can send a one-pager on expiry-aware replenishment and wastage prediction wired into your ERP for Vadilal Industries Limited — zero meetings needed. Just say the word.</t>
        </is>
      </c>
      <c r="V3" t="inlineStr">
        <is>
          <t>Dhaval, a faster fix for near-expiry write-offs</t>
        </is>
      </c>
      <c r="W3" s="3" t="inlineStr">
        <is>
          <t>Hi Dhaval,
As Vice President - Information Technology at Vadilal Industries Limited,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Vadilal Industries Limited?
Best,
{{SENDER_NAME}}
{{SENDER_EMAIL}} | Book directly: {{CALENDLY_URL}}
P.S. If this isn't relevant, reply "no thanks" and I won't follow up again.</t>
        </is>
      </c>
      <c r="X3" t="inlineStr">
        <is>
          <t>How teams like Vadilal Industries Limited start with AI on ERP</t>
        </is>
      </c>
      <c r="Y3" s="3" t="inlineStr">
        <is>
          <t>Hi Dhaval,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3" t="inlineStr">
        <is>
          <t>Closing the loop, Dhaval</t>
        </is>
      </c>
      <c r="AA3" s="3" t="inlineStr">
        <is>
          <t>Hi Dhaval,
I'll close the loop here — inbox zero is sacred.
If near-expiry write-offs and distributor claim reconciliation becomes a priority at Vadilal Industries Limited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3" t="inlineStr">
        <is>
          <t>Draft</t>
        </is>
      </c>
      <c r="AC3" t="n">
        <v>0</v>
      </c>
      <c r="AD3" t="inlineStr"/>
      <c r="AE3" t="inlineStr"/>
      <c r="AF3" t="inlineStr"/>
    </row>
    <row r="4">
      <c r="A4" t="inlineStr">
        <is>
          <t>Kaushal</t>
        </is>
      </c>
      <c r="B4" t="inlineStr">
        <is>
          <t>Parekh</t>
        </is>
      </c>
      <c r="C4" t="inlineStr">
        <is>
          <t>Chief Financial Officer</t>
        </is>
      </c>
      <c r="D4" t="inlineStr">
        <is>
          <t>Metro Brands Limited</t>
        </is>
      </c>
      <c r="E4" t="inlineStr">
        <is>
          <t>kaushal.parekh@metrobrands.com</t>
        </is>
      </c>
      <c r="F4" t="n">
        <v>4000</v>
      </c>
      <c r="G4" t="inlineStr">
        <is>
          <t>retail</t>
        </is>
      </c>
      <c r="H4" t="inlineStr">
        <is>
          <t>http://www.linkedin.com/in/kaushal-parekh-506142a7</t>
        </is>
      </c>
      <c r="I4" t="inlineStr">
        <is>
          <t>https://metrobrands.com</t>
        </is>
      </c>
      <c r="J4" t="inlineStr">
        <is>
          <t>Mumbai</t>
        </is>
      </c>
      <c r="K4" t="inlineStr">
        <is>
          <t>Maharashtra</t>
        </is>
      </c>
      <c r="L4" t="inlineStr">
        <is>
          <t>India</t>
        </is>
      </c>
      <c r="M4" t="n">
        <v>296367000</v>
      </c>
      <c r="N4" s="2" t="n">
        <v>100</v>
      </c>
      <c r="O4" s="2" t="inlineStr">
        <is>
          <t>A - Hot</t>
        </is>
      </c>
      <c r="P4" t="inlineStr">
        <is>
          <t>Tier 1 - C-Suite/Founder</t>
        </is>
      </c>
      <c r="Q4" t="inlineStr">
        <is>
          <t>C-Suite/Founder / Ops/Tech/Finance/Commercial</t>
        </is>
      </c>
      <c r="R4" t="inlineStr"/>
      <c r="S4" s="3" t="inlineStr">
        <is>
          <t>Hi Kaushal, your work as Chief Financial Officer at Metro Brands Limited caught my eye. We build small AI use cases that sit on top of existing ERPs — think recovering margin leakage and freeing working capital trapped in inventory. Would be glad to connect.</t>
        </is>
      </c>
      <c r="T4" s="3" t="inlineStr">
        <is>
          <t>Glad to be connected, Kaushal. Most retail teams we meet struggle with stockouts and excess inventory that the ERP reports only after the fact. We fix exactly that with SKU-level demand forecasting and auto-replenishment on top of your ERP. Open to a 15-minute walkthrough?</t>
        </is>
      </c>
      <c r="U4" s="3" t="inlineStr">
        <is>
          <t>Kaushal, closing the loop so I'm not another unread ping. If it's useful, I can send a one-pager on SKU-level demand forecasting and auto-replenishment on top of your ERP for Metro Brands Limited — zero meetings needed. Just say the word.</t>
        </is>
      </c>
      <c r="V4" t="inlineStr">
        <is>
          <t>Kaushal, a faster fix for stockouts</t>
        </is>
      </c>
      <c r="W4" s="3" t="inlineStr">
        <is>
          <t>Hi Kaushal,
As Chief Financial Officer at Metro Brands Limited,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Metro Brands Limited?
Best,
{{SENDER_NAME}}
{{SENDER_EMAIL}} | Book directly: {{CALENDLY_URL}}
P.S. If this isn't relevant, reply "no thanks" and I won't follow up again.</t>
        </is>
      </c>
      <c r="X4" t="inlineStr">
        <is>
          <t>How teams like Metro Brands Limited start with AI on ERP</t>
        </is>
      </c>
      <c r="Y4" s="3" t="inlineStr">
        <is>
          <t>Hi Kaushal,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 t="inlineStr">
        <is>
          <t>Closing the loop, Kaushal</t>
        </is>
      </c>
      <c r="AA4" s="3" t="inlineStr">
        <is>
          <t>Hi Kaushal,
I'll close the loop here — inbox zero is sacred.
If stockouts and excess inventory that the ERP reports only after the fact becomes a priority at Metro Brands Limited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 t="inlineStr">
        <is>
          <t>Draft</t>
        </is>
      </c>
      <c r="AC4" t="n">
        <v>0</v>
      </c>
      <c r="AD4" t="inlineStr"/>
      <c r="AE4" t="inlineStr"/>
      <c r="AF4" t="inlineStr"/>
    </row>
    <row r="5">
      <c r="A5" t="inlineStr">
        <is>
          <t>Nikhil</t>
        </is>
      </c>
      <c r="B5" t="inlineStr">
        <is>
          <t>Bhushan</t>
        </is>
      </c>
      <c r="C5" t="inlineStr">
        <is>
          <t>Chief Technology Officer</t>
        </is>
      </c>
      <c r="D5" t="inlineStr">
        <is>
          <t>Starbucks India</t>
        </is>
      </c>
      <c r="E5" t="inlineStr">
        <is>
          <t>nikhil.bhushan@tatastarbucks.com</t>
        </is>
      </c>
      <c r="F5" t="n">
        <v>2800</v>
      </c>
      <c r="G5" t="inlineStr">
        <is>
          <t>retail</t>
        </is>
      </c>
      <c r="H5" t="inlineStr">
        <is>
          <t>http://www.linkedin.com/in/nikhilbhushan108</t>
        </is>
      </c>
      <c r="I5" t="inlineStr">
        <is>
          <t>https://starbucks.in</t>
        </is>
      </c>
      <c r="J5" t="inlineStr">
        <is>
          <t>Mumbai</t>
        </is>
      </c>
      <c r="K5" t="inlineStr">
        <is>
          <t>Maharashtra</t>
        </is>
      </c>
      <c r="L5" t="inlineStr">
        <is>
          <t>India</t>
        </is>
      </c>
      <c r="M5" t="n">
        <v>150000000</v>
      </c>
      <c r="N5" s="2" t="n">
        <v>100</v>
      </c>
      <c r="O5" s="2" t="inlineStr">
        <is>
          <t>A - Hot</t>
        </is>
      </c>
      <c r="P5" t="inlineStr">
        <is>
          <t>Tier 1 - C-Suite/Founder</t>
        </is>
      </c>
      <c r="Q5" t="inlineStr">
        <is>
          <t>C-Suite/Founder / Ops/Tech/Finance/Commercial</t>
        </is>
      </c>
      <c r="R5" t="inlineStr"/>
      <c r="S5" s="3" t="inlineStr">
        <is>
          <t>Hi Nikhil, we help teams like Starbucks India's tackle stockouts and excess inventory that the ERP reports only after the fact with AI add-ons to their existing ERP — no replatforming. Keen to connect and swap notes.</t>
        </is>
      </c>
      <c r="T5" s="3" t="inlineStr">
        <is>
          <t>Glad to be connected, Nikhil. Most retail teams we meet struggle with stockouts and excess inventory that the ERP reports only after the fact. We fix exactly that with SKU-level demand forecasting and auto-replenishment on top of your ERP. Open to a 15-minute walkthrough?</t>
        </is>
      </c>
      <c r="U5" s="3" t="inlineStr">
        <is>
          <t>Nikhil, I'll leave this here rather than keep nudging — if stockouts and excess inventory that the ERP reports only after the fact ever climbs the priority list at Starbucks India, a 15-minute call is all it takes to see if there's a fit. Either way, good luck this quarter.</t>
        </is>
      </c>
      <c r="V5" t="inlineStr">
        <is>
          <t>AI on top of Starbucks India's ERP — one small use case</t>
        </is>
      </c>
      <c r="W5" s="3" t="inlineStr">
        <is>
          <t>Hi Nikhil,
As Chief Technology Officer at Starbucks India,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Starbucks India?
Best,
{{SENDER_NAME}}
{{SENDER_EMAIL}} | Book directly: {{CALENDLY_URL}}
P.S. If this isn't relevant, reply "no thanks" and I won't follow up again.</t>
        </is>
      </c>
      <c r="X5" t="inlineStr">
        <is>
          <t>How teams like Starbucks India start with AI on ERP</t>
        </is>
      </c>
      <c r="Y5" s="3" t="inlineStr">
        <is>
          <t>Hi Nikhil,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5" t="inlineStr">
        <is>
          <t>Last note — AI on ERP at Starbucks India</t>
        </is>
      </c>
      <c r="AA5" s="3" t="inlineStr">
        <is>
          <t>Hi Nikhil,
I'll close the loop here — inbox zero is sacred.
If stockouts and excess inventory that the ERP reports only after the fact becomes a priority at Starbucks India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5" t="inlineStr">
        <is>
          <t>Draft</t>
        </is>
      </c>
      <c r="AC5" t="n">
        <v>0</v>
      </c>
      <c r="AD5" t="inlineStr"/>
      <c r="AE5" t="inlineStr"/>
      <c r="AF5" t="inlineStr"/>
    </row>
    <row r="6">
      <c r="A6" t="inlineStr">
        <is>
          <t>Tarun</t>
        </is>
      </c>
      <c r="B6" t="inlineStr">
        <is>
          <t>Pathria</t>
        </is>
      </c>
      <c r="C6" t="inlineStr">
        <is>
          <t>Chief Financial Officer</t>
        </is>
      </c>
      <c r="D6" t="inlineStr">
        <is>
          <t>House of Anita Dongre Limited</t>
        </is>
      </c>
      <c r="E6" t="inlineStr">
        <is>
          <t>tarun.pathria@houseofanitadongre.com</t>
        </is>
      </c>
      <c r="F6" t="n">
        <v>2800</v>
      </c>
      <c r="G6" t="inlineStr">
        <is>
          <t>apparel &amp; fashion</t>
        </is>
      </c>
      <c r="H6" t="inlineStr">
        <is>
          <t>http://www.linkedin.com/in/tarunpathria</t>
        </is>
      </c>
      <c r="I6" t="inlineStr">
        <is>
          <t>https://anitadongre.com</t>
        </is>
      </c>
      <c r="J6" t="inlineStr">
        <is>
          <t>Mumbai</t>
        </is>
      </c>
      <c r="K6" t="inlineStr">
        <is>
          <t>Maharashtra</t>
        </is>
      </c>
      <c r="L6" t="inlineStr">
        <is>
          <t>India</t>
        </is>
      </c>
      <c r="M6" t="n">
        <v>100000000</v>
      </c>
      <c r="N6" s="2" t="n">
        <v>100</v>
      </c>
      <c r="O6" s="2" t="inlineStr">
        <is>
          <t>A - Hot</t>
        </is>
      </c>
      <c r="P6" t="inlineStr">
        <is>
          <t>Tier 1 - C-Suite/Founder</t>
        </is>
      </c>
      <c r="Q6" t="inlineStr">
        <is>
          <t>C-Suite/Founder / Ops/Tech/Finance/Commercial</t>
        </is>
      </c>
      <c r="R6" t="inlineStr"/>
      <c r="S6" s="3" t="inlineStr">
        <is>
          <t>Hi Tarun, your work as Chief Financial Officer at House of Anita Dongre Limited caught my eye. We build small AI use cases that sit on top of existing ERPs — think recovering margin leakage and freeing working capital trapped in inventory. Would be glad to connect.</t>
        </is>
      </c>
      <c r="T6" s="3" t="inlineStr">
        <is>
          <t>Appreciate the connect, Tarun. One idea for House of Anita Dongre Limited: size-curve planning and season-buy optimization that reads straight from your ERP. It runs alongside your current ERP, so there's no migration risk — just one contained pilot. Happy to share how similar teams structure it.</t>
        </is>
      </c>
      <c r="U6" s="3" t="inlineStr">
        <is>
          <t>Last note from me, Tarun — timing is everything with these projects. If an AI-on-ERP pilot becomes relevant at House of Anita Dongre Limited later, my line's open. Wishing you a strong quarter.</t>
        </is>
      </c>
      <c r="V6" t="inlineStr">
        <is>
          <t>Broken size sets at House of Anita Dongre Limited?</t>
        </is>
      </c>
      <c r="W6" s="3" t="inlineStr">
        <is>
          <t>Hi Tarun,
As Chief Financial Officer at House of Anita Dongre Limited,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House of Anita Dongre Limited?
Best,
{{SENDER_NAME}}
{{SENDER_EMAIL}} | Book directly: {{CALENDLY_URL}}
P.S. If this isn't relevant, reply "no thanks" and I won't follow up again.</t>
        </is>
      </c>
      <c r="X6" t="inlineStr">
        <is>
          <t>Re: one small AI use case for House of Anita Dongre Limited</t>
        </is>
      </c>
      <c r="Y6" s="3" t="inlineStr">
        <is>
          <t>Hi Tarun,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6" t="inlineStr">
        <is>
          <t>Last note — AI on ERP at House of Anita Dongre Limited</t>
        </is>
      </c>
      <c r="AA6" s="3" t="inlineStr">
        <is>
          <t>Hi Tarun,
I'll close the loop here — inbox zero is sacred.
If broken size sets and end-of-season markdowns becomes a priority at House of Anita Dongre Limited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6" t="inlineStr">
        <is>
          <t>Draft</t>
        </is>
      </c>
      <c r="AC6" t="n">
        <v>0</v>
      </c>
      <c r="AD6" t="inlineStr"/>
      <c r="AE6" t="inlineStr"/>
      <c r="AF6" t="inlineStr"/>
    </row>
    <row r="7">
      <c r="A7" t="inlineStr">
        <is>
          <t>Laxman</t>
        </is>
      </c>
      <c r="B7" t="inlineStr">
        <is>
          <t>Nikam</t>
        </is>
      </c>
      <c r="C7" t="inlineStr">
        <is>
          <t>Chief Technology Officer</t>
        </is>
      </c>
      <c r="D7" t="inlineStr">
        <is>
          <t>Kansai Nerolac Paints Ltd</t>
        </is>
      </c>
      <c r="E7" t="inlineStr">
        <is>
          <t>laxmannikam@nerolac.com</t>
        </is>
      </c>
      <c r="F7" t="n">
        <v>3800</v>
      </c>
      <c r="G7" t="inlineStr">
        <is>
          <t>consumer goods</t>
        </is>
      </c>
      <c r="H7" t="inlineStr">
        <is>
          <t>http://www.linkedin.com/in/laxman-nikam-973993367</t>
        </is>
      </c>
      <c r="I7" t="inlineStr">
        <is>
          <t>https://nerolac.com</t>
        </is>
      </c>
      <c r="J7" t="inlineStr">
        <is>
          <t>Mumbai</t>
        </is>
      </c>
      <c r="K7" t="inlineStr">
        <is>
          <t>Maharashtra</t>
        </is>
      </c>
      <c r="L7" t="inlineStr">
        <is>
          <t>India</t>
        </is>
      </c>
      <c r="M7" t="n">
        <v>925966000</v>
      </c>
      <c r="N7" s="2" t="n">
        <v>100</v>
      </c>
      <c r="O7" s="2" t="inlineStr">
        <is>
          <t>A - Hot</t>
        </is>
      </c>
      <c r="P7" t="inlineStr">
        <is>
          <t>Tier 1 - C-Suite/Founder</t>
        </is>
      </c>
      <c r="Q7" t="inlineStr">
        <is>
          <t>C-Suite/Founder / Ops/Tech/Finance/Commercial</t>
        </is>
      </c>
      <c r="R7" t="inlineStr"/>
      <c r="S7" s="3" t="inlineStr">
        <is>
          <t>Hi Laxman, we help teams like Kansai Nerolac Paints Ltd's tackle manual reconciliation work your ERP wasn't built to remove with AI add-ons to their existing ERP — no replatforming. Keen to connect and swap notes.</t>
        </is>
      </c>
      <c r="T7" s="3" t="inlineStr">
        <is>
          <t>Glad to be connected, Laxman. Most consumer goods teams we meet struggle with manual reconciliation work your ERP wasn't built to remove. We fix exactly that with AI add-ons for your ERP — invoice matching, PO automation, demand forecasting. Open to a 15-minute walkthrough?</t>
        </is>
      </c>
      <c r="U7" s="3" t="inlineStr">
        <is>
          <t>Last note from me, Laxman — timing is everything with these projects. If an AI-on-ERP pilot becomes relevant at Kansai Nerolac Paints Ltd later, my line's open. Wishing you a strong quarter.</t>
        </is>
      </c>
      <c r="V7" t="inlineStr">
        <is>
          <t>Laxman, a faster fix for manual reconciliation work your ERP wasn't built to remove</t>
        </is>
      </c>
      <c r="W7" s="3" t="inlineStr">
        <is>
          <t>Hi Laxman,
As Chief Technology Officer at Kansai Nerolac Paints Ltd, you likely see manual reconciliation work your ERP wasn't built to remove more closely than anyone.
We build AI solutions that plug into your existing ERP for small, high-impact use cases across retail ecosystems — starting with AI add-ons for your ERP — invoice matching, PO automation, demand forecasting.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Kansai Nerolac Paints Ltd?
Best,
{{SENDER_NAME}}
{{SENDER_EMAIL}} | Book directly: {{CALENDLY_URL}}
P.S. If this isn't relevant, reply "no thanks" and I won't follow up again.</t>
        </is>
      </c>
      <c r="X7" t="inlineStr">
        <is>
          <t>How teams like Kansai Nerolac Paints Ltd start with AI on ERP</t>
        </is>
      </c>
      <c r="Y7" s="3" t="inlineStr">
        <is>
          <t>Hi Laxman,
Following up on my last note. The pattern that works in consumer goods:
pick one painful, well-bounded problem — for most teams that's manual reconciliation work your ERP wasn't built to remove — and put a
narrow AI layer on the ERP data you already have.
What that looks like in practice:
- Week 1: connect read-only to the ERP, baseline the problem with your data
- Week 2-3: pilot AI add-ons for your ERP — invoice matching, PO automation, demand forecasting
- Then: keep it only if the numbers justify it
No new platform, no long IT project. Would a 15-minute walkthrough this week or
next work? {{CALENDLY_URL}}
Best,
{{SENDER_NAME}}</t>
        </is>
      </c>
      <c r="Z7" t="inlineStr">
        <is>
          <t>Last note — AI on ERP at Kansai Nerolac Paints Ltd</t>
        </is>
      </c>
      <c r="AA7" s="3" t="inlineStr">
        <is>
          <t>Hi Laxman,
I'll close the loop here — inbox zero is sacred.
If manual reconciliation work your ERP wasn't built to remove becomes a priority at Kansai Nerolac Paints Ltd this year, we're a 15-minute
conversation away: {{CALENDLY_URL}}. If it's easier, I can also send a
one-page overview of AI add-ons for your ERP — invoice matching, PO automation, demand forecasting that you can forward internally — just reply
"send it".
Either way, thanks for reading, and good luck this quarter.
Best,
{{SENDER_NAME}}
(Reply "unsubscribe" and you won't hear from me again.)</t>
        </is>
      </c>
      <c r="AB7" t="inlineStr">
        <is>
          <t>Draft</t>
        </is>
      </c>
      <c r="AC7" t="n">
        <v>0</v>
      </c>
      <c r="AD7" t="inlineStr"/>
      <c r="AE7" t="inlineStr"/>
      <c r="AF7" t="inlineStr"/>
    </row>
    <row r="8">
      <c r="A8" t="inlineStr">
        <is>
          <t>Ramakant</t>
        </is>
      </c>
      <c r="B8" t="inlineStr">
        <is>
          <t>Baheti</t>
        </is>
      </c>
      <c r="C8" t="inlineStr">
        <is>
          <t>Chief Financial Officer</t>
        </is>
      </c>
      <c r="D8" t="inlineStr">
        <is>
          <t>DMart - Avenue Supermarts Ltd</t>
        </is>
      </c>
      <c r="E8" t="inlineStr">
        <is>
          <t>ramakant@dmartindia.com</t>
        </is>
      </c>
      <c r="F8" t="n">
        <v>14000</v>
      </c>
      <c r="G8" t="inlineStr">
        <is>
          <t>retail</t>
        </is>
      </c>
      <c r="H8" t="inlineStr">
        <is>
          <t>http://www.linkedin.com/in/ramakant-baheti-b3458736</t>
        </is>
      </c>
      <c r="I8" t="inlineStr">
        <is>
          <t>https://dmartindia.com</t>
        </is>
      </c>
      <c r="J8" t="inlineStr">
        <is>
          <t>Mumbai</t>
        </is>
      </c>
      <c r="K8" t="inlineStr">
        <is>
          <t>Maharashtra</t>
        </is>
      </c>
      <c r="L8" t="inlineStr">
        <is>
          <t>India</t>
        </is>
      </c>
      <c r="M8" t="n">
        <v>6952536000</v>
      </c>
      <c r="N8" s="2" t="n">
        <v>99</v>
      </c>
      <c r="O8" s="2" t="inlineStr">
        <is>
          <t>A - Hot</t>
        </is>
      </c>
      <c r="P8" t="inlineStr">
        <is>
          <t>Tier 1 - C-Suite/Founder</t>
        </is>
      </c>
      <c r="Q8" t="inlineStr">
        <is>
          <t>C-Suite/Founder / Ops/Tech/Finance/Commercial</t>
        </is>
      </c>
      <c r="R8" t="inlineStr"/>
      <c r="S8" s="3" t="inlineStr">
        <is>
          <t>Hi Ramakant, your work as Chief Financial Officer at DMart - Avenue Supermarts Ltd caught my eye. We build small AI use cases that sit on top of existing ERPs — think recovering margin leakage and freeing working capital trapped in inventory. Would be glad to connect.</t>
        </is>
      </c>
      <c r="T8" s="3" t="inlineStr">
        <is>
          <t>Glad to be connected, Ramakant. Most retail teams we meet struggle with stockouts and excess inventory that the ERP reports only after the fact. We fix exactly that with SKU-level demand forecasting and auto-replenishment on top of your ERP. Open to a 15-minute walkthrough?</t>
        </is>
      </c>
      <c r="U8" s="3" t="inlineStr">
        <is>
          <t>Ramakant, I'll leave this here rather than keep nudging — if stockouts and excess inventory that the ERP reports only after the fact ever climbs the priority list at DMart - Avenue Supermarts Ltd, a 15-minute call is all it takes to see if there's a fit. Either way, good luck this quarter.</t>
        </is>
      </c>
      <c r="V8" t="inlineStr">
        <is>
          <t>Ramakant, a faster fix for stockouts</t>
        </is>
      </c>
      <c r="W8" s="3" t="inlineStr">
        <is>
          <t>Hi Ramakant,
As Chief Financial Officer at DMart - Avenue Supermarts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DMart - Avenue Supermarts Ltd?
Best,
{{SENDER_NAME}}
{{SENDER_EMAIL}} | Book directly: {{CALENDLY_URL}}
P.S. If this isn't relevant, reply "no thanks" and I won't follow up again.</t>
        </is>
      </c>
      <c r="X8" t="inlineStr">
        <is>
          <t>Re: one small AI use case for DMart - Avenue Supermarts Ltd</t>
        </is>
      </c>
      <c r="Y8" s="3" t="inlineStr">
        <is>
          <t>Hi Ramakant,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8" t="inlineStr">
        <is>
          <t>Should I stay or should I go, Ramakant?</t>
        </is>
      </c>
      <c r="AA8" s="3" t="inlineStr">
        <is>
          <t>Hi Ramakant,
I'll close the loop here — inbox zero is sacred.
If stockouts and excess inventory that the ERP reports only after the fact becomes a priority at DMart - Avenue Supermarts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8" t="inlineStr">
        <is>
          <t>Draft</t>
        </is>
      </c>
      <c r="AC8" t="n">
        <v>0</v>
      </c>
      <c r="AD8" t="inlineStr"/>
      <c r="AE8" t="inlineStr"/>
      <c r="AF8" t="inlineStr"/>
    </row>
    <row r="9">
      <c r="A9" t="inlineStr">
        <is>
          <t>Prasoon</t>
        </is>
      </c>
      <c r="B9" t="inlineStr">
        <is>
          <t>Bhardwaj</t>
        </is>
      </c>
      <c r="C9" t="inlineStr">
        <is>
          <t>Vice President - Staples Portfolio Strategy</t>
        </is>
      </c>
      <c r="D9" t="inlineStr">
        <is>
          <t>Tata Consumer Products</t>
        </is>
      </c>
      <c r="E9" t="inlineStr">
        <is>
          <t>prasoon.bhardwaj@tataconsumer.com</t>
        </is>
      </c>
      <c r="F9" t="n">
        <v>9100</v>
      </c>
      <c r="G9" t="inlineStr">
        <is>
          <t>food &amp; beverages</t>
        </is>
      </c>
      <c r="H9" t="inlineStr">
        <is>
          <t>http://www.linkedin.com/in/prasoon-bhardwaj-21b7b330</t>
        </is>
      </c>
      <c r="I9" t="inlineStr">
        <is>
          <t>https://tataconsumer.com</t>
        </is>
      </c>
      <c r="J9" t="inlineStr">
        <is>
          <t>Mumbai</t>
        </is>
      </c>
      <c r="K9" t="inlineStr">
        <is>
          <t>Maharashtra</t>
        </is>
      </c>
      <c r="L9" t="inlineStr">
        <is>
          <t>India</t>
        </is>
      </c>
      <c r="M9" t="n">
        <v>2083650000</v>
      </c>
      <c r="N9" s="2" t="n">
        <v>99</v>
      </c>
      <c r="O9" s="2" t="inlineStr">
        <is>
          <t>A - Hot</t>
        </is>
      </c>
      <c r="P9" t="inlineStr">
        <is>
          <t>Tier 1 - C-Suite/Founder</t>
        </is>
      </c>
      <c r="Q9" t="inlineStr">
        <is>
          <t>C-Suite/Founder / Ops/Tech/Finance/Commercial</t>
        </is>
      </c>
      <c r="R9" t="inlineStr"/>
      <c r="S9" s="3" t="inlineStr">
        <is>
          <t>Hi Prasoon, I work with food &amp; beverages leaders on measurable margin and working-capital gains within a quarter — lightweight AI that plugs into the ERP you already run. Given your seat at Tata Consumer Products, thought it was worth connecting.</t>
        </is>
      </c>
      <c r="T9" s="3" t="inlineStr">
        <is>
          <t>Appreciate the connect, Prasoon. One idea for Tata Consumer Products: expiry-aware replenishment and wastage prediction wired into your ERP. It runs alongside your current ERP, so there's no migration risk — just one contained pilot. Happy to share how similar teams structure it.</t>
        </is>
      </c>
      <c r="U9" s="3" t="inlineStr">
        <is>
          <t>Last note from me, Prasoon — timing is everything with these projects. If an AI-on-ERP pilot becomes relevant at Tata Consumer Products later, my line's open. Wishing you a strong quarter.</t>
        </is>
      </c>
      <c r="V9" t="inlineStr">
        <is>
          <t>Prasoon, a faster fix for near-expiry write-offs</t>
        </is>
      </c>
      <c r="W9" s="3" t="inlineStr">
        <is>
          <t>Hi Prasoon,
As Vice President - Staples Portfolio Strategy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Tata Consumer Products?
Best,
{{SENDER_NAME}}
{{SENDER_EMAIL}} | Book directly: {{CALENDLY_URL}}
P.S. If this isn't relevant, reply "no thanks" and I won't follow up again.</t>
        </is>
      </c>
      <c r="X9" t="inlineStr">
        <is>
          <t>Prasoon — the 3-week pilot version</t>
        </is>
      </c>
      <c r="Y9" s="3" t="inlineStr">
        <is>
          <t>Hi Prasoon,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9" t="inlineStr">
        <is>
          <t>Should I stay or should I go, Prasoon?</t>
        </is>
      </c>
      <c r="AA9" s="3" t="inlineStr">
        <is>
          <t>Hi Prasoon,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9" t="inlineStr">
        <is>
          <t>Draft</t>
        </is>
      </c>
      <c r="AC9" t="n">
        <v>0</v>
      </c>
      <c r="AD9" t="inlineStr"/>
      <c r="AE9" t="inlineStr"/>
      <c r="AF9" t="inlineStr"/>
    </row>
    <row r="10">
      <c r="A10" t="inlineStr">
        <is>
          <t>Biswabrata</t>
        </is>
      </c>
      <c r="B10" t="inlineStr">
        <is>
          <t>Chakravorty</t>
        </is>
      </c>
      <c r="C10" t="inlineStr">
        <is>
          <t>Group Chief Digital &amp; Information Officer</t>
        </is>
      </c>
      <c r="D10" t="inlineStr">
        <is>
          <t>DMart - Avenue Supermarts Ltd</t>
        </is>
      </c>
      <c r="E10" t="inlineStr">
        <is>
          <t>biswabrata.chakravorty@dmartindia.com</t>
        </is>
      </c>
      <c r="F10" t="n">
        <v>14000</v>
      </c>
      <c r="G10" t="inlineStr">
        <is>
          <t>retail</t>
        </is>
      </c>
      <c r="H10" t="inlineStr">
        <is>
          <t>http://www.linkedin.com/in/biswabrata-chakravorty-3217994</t>
        </is>
      </c>
      <c r="I10" t="inlineStr">
        <is>
          <t>https://dmartindia.com</t>
        </is>
      </c>
      <c r="J10" t="inlineStr">
        <is>
          <t>Mumbai</t>
        </is>
      </c>
      <c r="K10" t="inlineStr">
        <is>
          <t>Maharashtra</t>
        </is>
      </c>
      <c r="L10" t="inlineStr">
        <is>
          <t>India</t>
        </is>
      </c>
      <c r="M10" t="n">
        <v>6952536000</v>
      </c>
      <c r="N10" s="2" t="n">
        <v>99</v>
      </c>
      <c r="O10" s="2" t="inlineStr">
        <is>
          <t>A - Hot</t>
        </is>
      </c>
      <c r="P10" t="inlineStr">
        <is>
          <t>Tier 1 - C-Suite/Founder</t>
        </is>
      </c>
      <c r="Q10" t="inlineStr">
        <is>
          <t>C-Suite/Founder / Ops/Tech/Finance/Commercial</t>
        </is>
      </c>
      <c r="R10" t="inlineStr"/>
      <c r="S10" s="3" t="inlineStr">
        <is>
          <t>Hi Biswabrata, I work with retail leaders on adding AI capability without any rip-and-replace of the current ERP — lightweight AI that plugs into the ERP you already run. Given your seat at DMart - Avenue Supermarts Ltd, thought it was worth connecting.</t>
        </is>
      </c>
      <c r="T10" s="3" t="inlineStr">
        <is>
          <t>Glad to be connected, Biswabrata. Most retail teams we meet struggle with stockouts and excess inventory that the ERP reports only after the fact. We fix exactly that with SKU-level demand forecasting and auto-replenishment on top of your ERP. Open to a 15-minute walkthrough?</t>
        </is>
      </c>
      <c r="U10" s="3" t="inlineStr">
        <is>
          <t>Biswabrata, I'll leave this here rather than keep nudging — if stockouts and excess inventory that the ERP reports only after the fact ever climbs the priority list at DMart - Avenue Supermarts Ltd, a 15-minute call is all it takes to see if there's a fit. Either way, good luck this quarter.</t>
        </is>
      </c>
      <c r="V10" t="inlineStr">
        <is>
          <t>Biswabrata, a faster fix for stockouts</t>
        </is>
      </c>
      <c r="W10" s="3" t="inlineStr">
        <is>
          <t>Hi Biswabrata,
As Group Chief Digital &amp; Information Officer at DMart - Avenue Supermarts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DMart - Avenue Supermarts Ltd?
Best,
{{SENDER_NAME}}
{{SENDER_EMAIL}} | Book directly: {{CALENDLY_URL}}
P.S. If this isn't relevant, reply "no thanks" and I won't follow up again.</t>
        </is>
      </c>
      <c r="X10" t="inlineStr">
        <is>
          <t>Biswabrata — the 3-week pilot version</t>
        </is>
      </c>
      <c r="Y10" s="3" t="inlineStr">
        <is>
          <t>Hi Biswabrata,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0" t="inlineStr">
        <is>
          <t>Should I stay or should I go, Biswabrata?</t>
        </is>
      </c>
      <c r="AA10" s="3" t="inlineStr">
        <is>
          <t>Hi Biswabrata,
I'll close the loop here — inbox zero is sacred.
If stockouts and excess inventory that the ERP reports only after the fact becomes a priority at DMart - Avenue Supermarts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0" t="inlineStr">
        <is>
          <t>Draft</t>
        </is>
      </c>
      <c r="AC10" t="n">
        <v>0</v>
      </c>
      <c r="AD10" t="inlineStr"/>
      <c r="AE10" t="inlineStr"/>
      <c r="AF10" t="inlineStr"/>
    </row>
    <row r="11">
      <c r="A11" t="inlineStr">
        <is>
          <t>Bhushan</t>
        </is>
      </c>
      <c r="B11" t="inlineStr">
        <is>
          <t>Bannur</t>
        </is>
      </c>
      <c r="C11" t="inlineStr">
        <is>
          <t>Vice President Sourcing</t>
        </is>
      </c>
      <c r="D11" t="inlineStr">
        <is>
          <t>Tata Consumer Products</t>
        </is>
      </c>
      <c r="E11" t="inlineStr">
        <is>
          <t>bhushan.bannur@tataconsumer.com</t>
        </is>
      </c>
      <c r="F11" t="n">
        <v>9100</v>
      </c>
      <c r="G11" t="inlineStr">
        <is>
          <t>food &amp; beverages</t>
        </is>
      </c>
      <c r="H11" t="inlineStr">
        <is>
          <t>http://www.linkedin.com/in/bhushan-bannur</t>
        </is>
      </c>
      <c r="I11" t="inlineStr">
        <is>
          <t>https://tataconsumer.com</t>
        </is>
      </c>
      <c r="J11" t="inlineStr">
        <is>
          <t>Mumbai</t>
        </is>
      </c>
      <c r="K11" t="inlineStr">
        <is>
          <t>Maharashtra</t>
        </is>
      </c>
      <c r="L11" t="inlineStr">
        <is>
          <t>India</t>
        </is>
      </c>
      <c r="M11" t="n">
        <v>2083650000</v>
      </c>
      <c r="N11" s="2" t="n">
        <v>99</v>
      </c>
      <c r="O11" s="2" t="inlineStr">
        <is>
          <t>A - Hot</t>
        </is>
      </c>
      <c r="P11" t="inlineStr">
        <is>
          <t>Tier 1 - C-Suite/Founder</t>
        </is>
      </c>
      <c r="Q11" t="inlineStr">
        <is>
          <t>C-Suite/Founder / Ops/Tech/Finance/Commercial</t>
        </is>
      </c>
      <c r="R11" t="inlineStr"/>
      <c r="S11" s="3" t="inlineStr">
        <is>
          <t>Hi Bhushan, your work as Vice President Sourcing at Tata Consumer Products caught my eye. We build small AI use cases that sit on top of existing ERPs — think measurable margin and working-capital gains within a quarter. Would be glad to connect.</t>
        </is>
      </c>
      <c r="T11" s="3" t="inlineStr">
        <is>
          <t>Thanks for connecting, Bhushan. Quick context: we ship expiry-aware replenishment and wastage prediction wired into your ERP. Teams typically start with one narrow use case and see results in weeks, not an ERP-project timeline. Worth a short look for Tata Consumer Products?</t>
        </is>
      </c>
      <c r="U11" s="3" t="inlineStr">
        <is>
          <t>Bhushan, I'll leave this here rather than keep nudging — if near-expiry write-offs and distributor claim reconciliation ever climbs the priority list at Tata Consumer Products, a 15-minute call is all it takes to see if there's a fit. Either way, good luck this quarter.</t>
        </is>
      </c>
      <c r="V11" t="inlineStr">
        <is>
          <t>AI on top of Tata Consumer Products's ERP — one small use case</t>
        </is>
      </c>
      <c r="W11" s="3" t="inlineStr">
        <is>
          <t>Hi Bhushan,
As Vice President Sourcing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Tata Consumer Products?
Best,
{{SENDER_NAME}}
{{SENDER_EMAIL}} | Book directly: {{CALENDLY_URL}}
P.S. If this isn't relevant, reply "no thanks" and I won't follow up again.</t>
        </is>
      </c>
      <c r="X11" t="inlineStr">
        <is>
          <t>Bhushan — the 3-week pilot version</t>
        </is>
      </c>
      <c r="Y11" s="3" t="inlineStr">
        <is>
          <t>Hi Bhushan,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 t="inlineStr">
        <is>
          <t>Last note — AI on ERP at Tata Consumer Products</t>
        </is>
      </c>
      <c r="AA11" s="3" t="inlineStr">
        <is>
          <t>Hi Bhushan,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 t="inlineStr">
        <is>
          <t>Draft</t>
        </is>
      </c>
      <c r="AC11" t="n">
        <v>0</v>
      </c>
      <c r="AD11" t="inlineStr"/>
      <c r="AE11" t="inlineStr"/>
      <c r="AF11" t="inlineStr"/>
    </row>
    <row r="12">
      <c r="A12" t="inlineStr">
        <is>
          <t>Anil</t>
        </is>
      </c>
      <c r="B12" t="inlineStr">
        <is>
          <t>Gondal</t>
        </is>
      </c>
      <c r="C12" t="inlineStr">
        <is>
          <t>COO</t>
        </is>
      </c>
      <c r="D12" t="inlineStr">
        <is>
          <t>Navnit Group</t>
        </is>
      </c>
      <c r="E12" t="inlineStr">
        <is>
          <t>anil.gondal@navnitgroup.com</t>
        </is>
      </c>
      <c r="F12" t="n">
        <v>2400</v>
      </c>
      <c r="G12" t="inlineStr">
        <is>
          <t>retail</t>
        </is>
      </c>
      <c r="H12" t="inlineStr">
        <is>
          <t>http://www.linkedin.com/in/anil-gondal-1793465</t>
        </is>
      </c>
      <c r="I12" t="inlineStr">
        <is>
          <t>https://navnitgroup.com</t>
        </is>
      </c>
      <c r="J12" t="inlineStr"/>
      <c r="K12" t="inlineStr"/>
      <c r="L12" t="inlineStr">
        <is>
          <t>India</t>
        </is>
      </c>
      <c r="M12" t="n">
        <v>227000000</v>
      </c>
      <c r="N12" s="2" t="n">
        <v>98</v>
      </c>
      <c r="O12" s="2" t="inlineStr">
        <is>
          <t>A - Hot</t>
        </is>
      </c>
      <c r="P12" t="inlineStr">
        <is>
          <t>Tier 1 - C-Suite/Founder</t>
        </is>
      </c>
      <c r="Q12" t="inlineStr">
        <is>
          <t>C-Suite/Founder / General management</t>
        </is>
      </c>
      <c r="R12" t="inlineStr"/>
      <c r="S12" s="3" t="inlineStr">
        <is>
          <t>Hi Anil, we help teams like Navnit Group's tackle stockouts and excess inventory that the ERP reports only after the fact with AI add-ons to their existing ERP — no replatforming. Keen to connect and swap notes.</t>
        </is>
      </c>
      <c r="T12" s="3" t="inlineStr">
        <is>
          <t>Appreciate the connect, Anil. One idea for Navnit Group: SKU-level demand forecasting and auto-replenishment on top of your ERP. It runs alongside your current ERP, so there's no migration risk — just one contained pilot. Happy to share how similar teams structure it.</t>
        </is>
      </c>
      <c r="U12" s="3" t="inlineStr">
        <is>
          <t>Anil, I'll leave this here rather than keep nudging — if stockouts and excess inventory that the ERP reports only after the fact ever climbs the priority list at Navnit Group, a 15-minute call is all it takes to see if there's a fit. Either way, good luck this quarter.</t>
        </is>
      </c>
      <c r="V12" t="inlineStr">
        <is>
          <t>Anil, a faster fix for stockouts</t>
        </is>
      </c>
      <c r="W12" s="3" t="inlineStr">
        <is>
          <t>Hi Anil,
As COO at Navnit Group,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Navnit Group?
Best,
{{SENDER_NAME}}
{{SENDER_EMAIL}} | Book directly: {{CALENDLY_URL}}
P.S. If this isn't relevant, reply "no thanks" and I won't follow up again.</t>
        </is>
      </c>
      <c r="X12" t="inlineStr">
        <is>
          <t>Anil — the 3-week pilot version</t>
        </is>
      </c>
      <c r="Y12" s="3" t="inlineStr">
        <is>
          <t>Hi Anil,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2" t="inlineStr">
        <is>
          <t>Closing the loop, Anil</t>
        </is>
      </c>
      <c r="AA12" s="3" t="inlineStr">
        <is>
          <t>Hi Anil,
I'll close the loop here — inbox zero is sacred.
If stockouts and excess inventory that the ERP reports only after the fact becomes a priority at Navnit Group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2" t="inlineStr">
        <is>
          <t>Draft</t>
        </is>
      </c>
      <c r="AC12" t="n">
        <v>0</v>
      </c>
      <c r="AD12" t="inlineStr"/>
      <c r="AE12" t="inlineStr"/>
      <c r="AF12" t="inlineStr"/>
    </row>
    <row r="13">
      <c r="A13" t="inlineStr">
        <is>
          <t>Marek</t>
        </is>
      </c>
      <c r="B13" t="inlineStr">
        <is>
          <t>Ladzikowski</t>
        </is>
      </c>
      <c r="C13" t="inlineStr">
        <is>
          <t>CEO Road</t>
        </is>
      </c>
      <c r="D13" t="inlineStr">
        <is>
          <t>VGL Group</t>
        </is>
      </c>
      <c r="E13" t="inlineStr">
        <is>
          <t>m.ladzikowski@vgl-group.com</t>
        </is>
      </c>
      <c r="F13" t="n">
        <v>950</v>
      </c>
      <c r="G13" t="inlineStr">
        <is>
          <t>retail</t>
        </is>
      </c>
      <c r="H13" t="inlineStr">
        <is>
          <t>http://www.linkedin.com/in/marek-%c5%82adzikowski-121799120</t>
        </is>
      </c>
      <c r="I13" t="inlineStr">
        <is>
          <t>https://vaibhavglobal.com</t>
        </is>
      </c>
      <c r="J13" t="inlineStr">
        <is>
          <t>Gdansk</t>
        </is>
      </c>
      <c r="K13" t="inlineStr">
        <is>
          <t>Pomeranian Voivodeship</t>
        </is>
      </c>
      <c r="L13" t="inlineStr">
        <is>
          <t>Poland</t>
        </is>
      </c>
      <c r="M13" t="n">
        <v>367696000</v>
      </c>
      <c r="N13" s="2" t="n">
        <v>98</v>
      </c>
      <c r="O13" s="2" t="inlineStr">
        <is>
          <t>A - Hot</t>
        </is>
      </c>
      <c r="P13" t="inlineStr">
        <is>
          <t>Tier 1 - C-Suite/Founder</t>
        </is>
      </c>
      <c r="Q13" t="inlineStr">
        <is>
          <t>C-Suite/Founder / General management</t>
        </is>
      </c>
      <c r="R13" t="inlineStr"/>
      <c r="S13" s="3" t="inlineStr">
        <is>
          <t>Hi Marek, your work as CEO Road at VGL Group caught my eye. We build small AI use cases that sit on top of existing ERPs — think measurable margin and working-capital gains within a quarter. Would be glad to connect.</t>
        </is>
      </c>
      <c r="T13" s="3" t="inlineStr">
        <is>
          <t>Thanks for connecting, Marek. Quick context: we ship SKU-level demand forecasting and auto-replenishment on top of your ERP. Teams typically start with one narrow use case and see results in weeks, not an ERP-project timeline. Worth a short look for VGL Group?</t>
        </is>
      </c>
      <c r="U13" s="3" t="inlineStr">
        <is>
          <t>Marek, closing the loop so I'm not another unread ping. If it's useful, I can send a one-pager on SKU-level demand forecasting and auto-replenishment on top of your ERP for VGL Group — zero meetings needed. Just say the word.</t>
        </is>
      </c>
      <c r="V13" t="inlineStr">
        <is>
          <t>Marek, a faster fix for stockouts</t>
        </is>
      </c>
      <c r="W13" s="3" t="inlineStr">
        <is>
          <t>Hi Marek,
As CEO Road at VGL Group,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VGL Group?
Best,
{{SENDER_NAME}}
{{SENDER_EMAIL}} | Book directly: {{CALENDLY_URL}}
P.S. If this isn't relevant, reply "no thanks" and I won't follow up again.</t>
        </is>
      </c>
      <c r="X13" t="inlineStr">
        <is>
          <t>How teams like VGL Group start with AI on ERP</t>
        </is>
      </c>
      <c r="Y13" s="3" t="inlineStr">
        <is>
          <t>Hi Marek,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3" t="inlineStr">
        <is>
          <t>Last note — AI on ERP at VGL Group</t>
        </is>
      </c>
      <c r="AA13" s="3" t="inlineStr">
        <is>
          <t>Hi Marek,
I'll close the loop here — inbox zero is sacred.
If stockouts and excess inventory that the ERP reports only after the fact becomes a priority at VGL Group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3" t="inlineStr">
        <is>
          <t>Draft</t>
        </is>
      </c>
      <c r="AC13" t="n">
        <v>0</v>
      </c>
      <c r="AD13" t="inlineStr"/>
      <c r="AE13" t="inlineStr"/>
      <c r="AF13" t="inlineStr"/>
    </row>
    <row r="14">
      <c r="A14" t="inlineStr">
        <is>
          <t>Rehan</t>
        </is>
      </c>
      <c r="B14" t="inlineStr">
        <is>
          <t>Mazhar</t>
        </is>
      </c>
      <c r="C14" t="inlineStr">
        <is>
          <t>Vice President Call Center Operations</t>
        </is>
      </c>
      <c r="D14" t="inlineStr">
        <is>
          <t>Naaptol Online Shopping Pvt. Ltd</t>
        </is>
      </c>
      <c r="E14" t="inlineStr">
        <is>
          <t>rehan.mazhar@naaptol.com</t>
        </is>
      </c>
      <c r="F14" t="n">
        <v>890</v>
      </c>
      <c r="G14" t="inlineStr">
        <is>
          <t>retail</t>
        </is>
      </c>
      <c r="H14" t="inlineStr">
        <is>
          <t>http://www.linkedin.com/in/rehan-mazhar-23a68828</t>
        </is>
      </c>
      <c r="I14" t="inlineStr">
        <is>
          <t>https://naaptol.com</t>
        </is>
      </c>
      <c r="J14" t="inlineStr">
        <is>
          <t>Noida</t>
        </is>
      </c>
      <c r="K14" t="inlineStr">
        <is>
          <t>Uttar Pradesh</t>
        </is>
      </c>
      <c r="L14" t="inlineStr">
        <is>
          <t>India</t>
        </is>
      </c>
      <c r="M14" t="n">
        <v>43000000</v>
      </c>
      <c r="N14" s="2" t="n">
        <v>98</v>
      </c>
      <c r="O14" s="2" t="inlineStr">
        <is>
          <t>A - Hot</t>
        </is>
      </c>
      <c r="P14" t="inlineStr">
        <is>
          <t>Tier 1 - C-Suite/Founder</t>
        </is>
      </c>
      <c r="Q14" t="inlineStr">
        <is>
          <t>C-Suite/Founder / Ops/Tech/Finance/Commercial</t>
        </is>
      </c>
      <c r="R14" t="inlineStr"/>
      <c r="S14" s="3" t="inlineStr">
        <is>
          <t>Hi Rehan, I work with retail leaders on fewer stockouts and far less manual reconciliation — lightweight AI that plugs into the ERP you already run. Given your seat at Naaptol Online Shopping Pvt. Ltd, thought it was worth connecting.</t>
        </is>
      </c>
      <c r="T14" s="3" t="inlineStr">
        <is>
          <t>Thanks for connecting, Rehan. Quick context: we ship SKU-level demand forecasting and auto-replenishment on top of your ERP. Teams typically start with one narrow use case and see results in weeks, not an ERP-project timeline. Worth a short look for Naaptol Online Shopping Pvt. Ltd?</t>
        </is>
      </c>
      <c r="U14" s="3" t="inlineStr">
        <is>
          <t>Last note from me, Rehan — timing is everything with these projects. If an AI-on-ERP pilot becomes relevant at Naaptol Online Shopping Pvt. Ltd later, my line's open. Wishing you a strong quarter.</t>
        </is>
      </c>
      <c r="V14" t="inlineStr">
        <is>
          <t>Rehan, a faster fix for stockouts</t>
        </is>
      </c>
      <c r="W14" s="3" t="inlineStr">
        <is>
          <t>Hi Rehan,
As Vice President Call Center Operations at Naaptol Online Shopping Pvt.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Naaptol Online Shopping Pvt. Ltd?
Best,
{{SENDER_NAME}}
{{SENDER_EMAIL}} | Book directly: {{CALENDLY_URL}}
P.S. If this isn't relevant, reply "no thanks" and I won't follow up again.</t>
        </is>
      </c>
      <c r="X14" t="inlineStr">
        <is>
          <t>How teams like Naaptol Online Shopping Pvt. Ltd start with AI on ERP</t>
        </is>
      </c>
      <c r="Y14" s="3" t="inlineStr">
        <is>
          <t>Hi Rehan,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4" t="inlineStr">
        <is>
          <t>Closing the loop, Rehan</t>
        </is>
      </c>
      <c r="AA14" s="3" t="inlineStr">
        <is>
          <t>Hi Rehan,
I'll close the loop here — inbox zero is sacred.
If stockouts and excess inventory that the ERP reports only after the fact becomes a priority at Naaptol Online Shopping Pvt.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4" t="inlineStr">
        <is>
          <t>Draft</t>
        </is>
      </c>
      <c r="AC14" t="n">
        <v>0</v>
      </c>
      <c r="AD14" t="inlineStr"/>
      <c r="AE14" t="inlineStr"/>
      <c r="AF14" t="inlineStr"/>
    </row>
    <row r="15">
      <c r="A15" t="inlineStr">
        <is>
          <t>Vijay</t>
        </is>
      </c>
      <c r="B15" t="inlineStr">
        <is>
          <t>Kabra</t>
        </is>
      </c>
      <c r="C15" t="inlineStr">
        <is>
          <t>President &amp; Chief Financial Officer</t>
        </is>
      </c>
      <c r="D15" t="inlineStr">
        <is>
          <t>Nilons Enterprises Pvt Ltd</t>
        </is>
      </c>
      <c r="E15" t="inlineStr">
        <is>
          <t>vijay.kabra@nilons.net</t>
        </is>
      </c>
      <c r="F15" t="n">
        <v>1200</v>
      </c>
      <c r="G15" t="inlineStr">
        <is>
          <t>food &amp; beverages</t>
        </is>
      </c>
      <c r="H15" t="inlineStr">
        <is>
          <t>http://www.linkedin.com/in/vijay-kabra-8925468</t>
        </is>
      </c>
      <c r="I15" t="inlineStr">
        <is>
          <t>https://nilons.com</t>
        </is>
      </c>
      <c r="J15" t="inlineStr">
        <is>
          <t>Pune</t>
        </is>
      </c>
      <c r="K15" t="inlineStr">
        <is>
          <t>Maharashtra</t>
        </is>
      </c>
      <c r="L15" t="inlineStr">
        <is>
          <t>India</t>
        </is>
      </c>
      <c r="M15" t="n">
        <v>45000000</v>
      </c>
      <c r="N15" s="2" t="n">
        <v>98</v>
      </c>
      <c r="O15" s="2" t="inlineStr">
        <is>
          <t>A - Hot</t>
        </is>
      </c>
      <c r="P15" t="inlineStr">
        <is>
          <t>Tier 1 - C-Suite/Founder</t>
        </is>
      </c>
      <c r="Q15" t="inlineStr">
        <is>
          <t>C-Suite/Founder / Ops/Tech/Finance/Commercial</t>
        </is>
      </c>
      <c r="R15" t="inlineStr"/>
      <c r="S15" s="3" t="inlineStr">
        <is>
          <t>Hi Vijay, we help teams like Nilons Enterprises Pvt Ltd's tackle near-expiry write-offs and distributor claim reconciliation with AI add-ons to their existing ERP — no replatforming. Keen to connect and swap notes.</t>
        </is>
      </c>
      <c r="T15" s="3" t="inlineStr">
        <is>
          <t>Thanks for connecting, Vijay. Quick context: we ship expiry-aware replenishment and wastage prediction wired into your ERP. Teams typically start with one narrow use case and see results in weeks, not an ERP-project timeline. Worth a short look for Nilons Enterprises Pvt Ltd?</t>
        </is>
      </c>
      <c r="U15" s="3" t="inlineStr">
        <is>
          <t>Vijay, closing the loop so I'm not another unread ping. If it's useful, I can send a one-pager on expiry-aware replenishment and wastage prediction wired into your ERP for Nilons Enterprises Pvt Ltd — zero meetings needed. Just say the word.</t>
        </is>
      </c>
      <c r="V15" t="inlineStr">
        <is>
          <t>Near-expiry write-offs at Nilons Enterprises Pvt Ltd?</t>
        </is>
      </c>
      <c r="W15" s="3" t="inlineStr">
        <is>
          <t>Hi Vijay,
As President &amp; Chief Financial Officer at Nilons Enterprises Pvt Ltd,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Nilons Enterprises Pvt Ltd?
Best,
{{SENDER_NAME}}
{{SENDER_EMAIL}} | Book directly: {{CALENDLY_URL}}
P.S. If this isn't relevant, reply "no thanks" and I won't follow up again.</t>
        </is>
      </c>
      <c r="X15" t="inlineStr">
        <is>
          <t>Vijay — the 3-week pilot version</t>
        </is>
      </c>
      <c r="Y15" s="3" t="inlineStr">
        <is>
          <t>Hi Vijay,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5" t="inlineStr">
        <is>
          <t>Last note — AI on ERP at Nilons Enterprises Pvt Ltd</t>
        </is>
      </c>
      <c r="AA15" s="3" t="inlineStr">
        <is>
          <t>Hi Vijay,
I'll close the loop here — inbox zero is sacred.
If near-expiry write-offs and distributor claim reconciliation becomes a priority at Nilons Enterprises Pvt Ltd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5" t="inlineStr">
        <is>
          <t>Draft</t>
        </is>
      </c>
      <c r="AC15" t="n">
        <v>0</v>
      </c>
      <c r="AD15" t="inlineStr"/>
      <c r="AE15" t="inlineStr"/>
      <c r="AF15" t="inlineStr"/>
    </row>
    <row r="16">
      <c r="A16" t="inlineStr">
        <is>
          <t>Kalyan</t>
        </is>
      </c>
      <c r="B16" t="inlineStr">
        <is>
          <t>Maheshwari</t>
        </is>
      </c>
      <c r="C16" t="inlineStr">
        <is>
          <t>Vice President Finance</t>
        </is>
      </c>
      <c r="D16" t="inlineStr">
        <is>
          <t>Brand Concepts Limited</t>
        </is>
      </c>
      <c r="E16" t="inlineStr">
        <is>
          <t>kalyan.maheshwari@brandconcepts.in</t>
        </is>
      </c>
      <c r="F16" t="n">
        <v>560</v>
      </c>
      <c r="G16" t="inlineStr">
        <is>
          <t>retail</t>
        </is>
      </c>
      <c r="H16" t="inlineStr">
        <is>
          <t>http://www.linkedin.com/in/kalyan-maheshwari-b0586a28b</t>
        </is>
      </c>
      <c r="I16" t="inlineStr">
        <is>
          <t>https://brandconcepts.in</t>
        </is>
      </c>
      <c r="J16" t="inlineStr">
        <is>
          <t>Indore</t>
        </is>
      </c>
      <c r="K16" t="inlineStr">
        <is>
          <t>Madhya Pradesh</t>
        </is>
      </c>
      <c r="L16" t="inlineStr">
        <is>
          <t>India</t>
        </is>
      </c>
      <c r="M16" t="n">
        <v>32267000</v>
      </c>
      <c r="N16" s="2" t="n">
        <v>98</v>
      </c>
      <c r="O16" s="2" t="inlineStr">
        <is>
          <t>A - Hot</t>
        </is>
      </c>
      <c r="P16" t="inlineStr">
        <is>
          <t>Tier 1 - C-Suite/Founder</t>
        </is>
      </c>
      <c r="Q16" t="inlineStr">
        <is>
          <t>C-Suite/Founder / Ops/Tech/Finance/Commercial</t>
        </is>
      </c>
      <c r="R16" t="inlineStr"/>
      <c r="S16" s="3" t="inlineStr">
        <is>
          <t>Hi Kalyan, I work with retail leaders on recovering margin leakage and freeing working capital trapped in inventory — lightweight AI that plugs into the ERP you already run. Given your seat at Brand Concepts Limited, thought it was worth connecting.</t>
        </is>
      </c>
      <c r="T16" s="3" t="inlineStr">
        <is>
          <t>Thanks for connecting, Kalyan. Quick context: we ship SKU-level demand forecasting and auto-replenishment on top of your ERP. Teams typically start with one narrow use case and see results in weeks, not an ERP-project timeline. Worth a short look for Brand Concepts Limited?</t>
        </is>
      </c>
      <c r="U16" s="3" t="inlineStr">
        <is>
          <t>Kalyan, I'll leave this here rather than keep nudging — if stockouts and excess inventory that the ERP reports only after the fact ever climbs the priority list at Brand Concepts Limited, a 15-minute call is all it takes to see if there's a fit. Either way, good luck this quarter.</t>
        </is>
      </c>
      <c r="V16" t="inlineStr">
        <is>
          <t>Stockouts at Brand Concepts Limited?</t>
        </is>
      </c>
      <c r="W16" s="3" t="inlineStr">
        <is>
          <t>Hi Kalyan,
As Vice President Finance at Brand Concepts Limited,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Brand Concepts Limited?
Best,
{{SENDER_NAME}}
{{SENDER_EMAIL}} | Book directly: {{CALENDLY_URL}}
P.S. If this isn't relevant, reply "no thanks" and I won't follow up again.</t>
        </is>
      </c>
      <c r="X16" t="inlineStr">
        <is>
          <t>Kalyan — the 3-week pilot version</t>
        </is>
      </c>
      <c r="Y16" s="3" t="inlineStr">
        <is>
          <t>Hi Kalyan,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6" t="inlineStr">
        <is>
          <t>Last note — AI on ERP at Brand Concepts Limited</t>
        </is>
      </c>
      <c r="AA16" s="3" t="inlineStr">
        <is>
          <t>Hi Kalyan,
I'll close the loop here — inbox zero is sacred.
If stockouts and excess inventory that the ERP reports only after the fact becomes a priority at Brand Concepts Limited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6" t="inlineStr">
        <is>
          <t>Draft</t>
        </is>
      </c>
      <c r="AC16" t="n">
        <v>0</v>
      </c>
      <c r="AD16" t="inlineStr"/>
      <c r="AE16" t="inlineStr"/>
      <c r="AF16" t="inlineStr"/>
    </row>
    <row r="17">
      <c r="A17" t="inlineStr">
        <is>
          <t>Rahul</t>
        </is>
      </c>
      <c r="B17" t="inlineStr">
        <is>
          <t>Kumar</t>
        </is>
      </c>
      <c r="C17" t="inlineStr">
        <is>
          <t>COO</t>
        </is>
      </c>
      <c r="D17" t="inlineStr">
        <is>
          <t>Parag Milk Foods</t>
        </is>
      </c>
      <c r="E17" t="inlineStr">
        <is>
          <t>rahul.kumar@parag.com</t>
        </is>
      </c>
      <c r="F17" t="n">
        <v>1800</v>
      </c>
      <c r="G17" t="inlineStr">
        <is>
          <t>food &amp; beverages</t>
        </is>
      </c>
      <c r="H17" t="inlineStr">
        <is>
          <t>http://www.linkedin.com/in/rahul-kumar-a70a0013</t>
        </is>
      </c>
      <c r="I17" t="inlineStr">
        <is>
          <t>https://parag.com</t>
        </is>
      </c>
      <c r="J17" t="inlineStr">
        <is>
          <t>Chennai</t>
        </is>
      </c>
      <c r="K17" t="inlineStr">
        <is>
          <t>Tamil Nadu</t>
        </is>
      </c>
      <c r="L17" t="inlineStr">
        <is>
          <t>India</t>
        </is>
      </c>
      <c r="M17" t="n">
        <v>405765000</v>
      </c>
      <c r="N17" s="2" t="n">
        <v>98</v>
      </c>
      <c r="O17" s="2" t="inlineStr">
        <is>
          <t>A - Hot</t>
        </is>
      </c>
      <c r="P17" t="inlineStr">
        <is>
          <t>Tier 1 - C-Suite/Founder</t>
        </is>
      </c>
      <c r="Q17" t="inlineStr">
        <is>
          <t>C-Suite/Founder / General management</t>
        </is>
      </c>
      <c r="R17" t="inlineStr"/>
      <c r="S17" s="3" t="inlineStr">
        <is>
          <t>Hi Rahul, your work as COO at Parag Milk Foods caught my eye. We build small AI use cases that sit on top of existing ERPs — think measurable margin and working-capital gains within a quarter. Would be glad to connect.</t>
        </is>
      </c>
      <c r="T17" s="3" t="inlineStr">
        <is>
          <t>Glad to be connected, Rahul. Most food &amp; beverages teams we meet struggle with near-expiry write-offs and distributor claim reconciliation. We fix exactly that with expiry-aware replenishment and wastage prediction wired into your ERP. Open to a 15-minute walkthrough?</t>
        </is>
      </c>
      <c r="U17" s="3" t="inlineStr">
        <is>
          <t>Rahul, I'll leave this here rather than keep nudging — if near-expiry write-offs and distributor claim reconciliation ever climbs the priority list at Parag Milk Foods, a 15-minute call is all it takes to see if there's a fit. Either way, good luck this quarter.</t>
        </is>
      </c>
      <c r="V17" t="inlineStr">
        <is>
          <t>AI on top of Parag Milk Foods's ERP — one small use case</t>
        </is>
      </c>
      <c r="W17" s="3" t="inlineStr">
        <is>
          <t>Hi Rahul,
As COO at Parag Milk Foods,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Parag Milk Foods?
Best,
{{SENDER_NAME}}
{{SENDER_EMAIL}} | Book directly: {{CALENDLY_URL}}
P.S. If this isn't relevant, reply "no thanks" and I won't follow up again.</t>
        </is>
      </c>
      <c r="X17" t="inlineStr">
        <is>
          <t>Re: one small AI use case for Parag Milk Foods</t>
        </is>
      </c>
      <c r="Y17" s="3" t="inlineStr">
        <is>
          <t>Hi Rahul,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7" t="inlineStr">
        <is>
          <t>Last note — AI on ERP at Parag Milk Foods</t>
        </is>
      </c>
      <c r="AA17" s="3" t="inlineStr">
        <is>
          <t>Hi Rahul,
I'll close the loop here — inbox zero is sacred.
If near-expiry write-offs and distributor claim reconciliation becomes a priority at Parag Milk Foods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7" t="inlineStr">
        <is>
          <t>Draft</t>
        </is>
      </c>
      <c r="AC17" t="n">
        <v>0</v>
      </c>
      <c r="AD17" t="inlineStr"/>
      <c r="AE17" t="inlineStr"/>
      <c r="AF17" t="inlineStr"/>
    </row>
    <row r="18">
      <c r="A18" t="inlineStr">
        <is>
          <t>Suresh</t>
        </is>
      </c>
      <c r="B18" t="inlineStr">
        <is>
          <t>Dubey</t>
        </is>
      </c>
      <c r="C18" t="inlineStr">
        <is>
          <t>Vice President-Operations &amp; BI</t>
        </is>
      </c>
      <c r="D18" t="inlineStr">
        <is>
          <t>Naaptol Online Shopping Pvt. Ltd</t>
        </is>
      </c>
      <c r="E18" t="inlineStr">
        <is>
          <t>suresh.dubey@naaptol.com</t>
        </is>
      </c>
      <c r="F18" t="n">
        <v>890</v>
      </c>
      <c r="G18" t="inlineStr">
        <is>
          <t>retail</t>
        </is>
      </c>
      <c r="H18" t="inlineStr">
        <is>
          <t>http://www.linkedin.com/in/suresh-dubey-3b190034</t>
        </is>
      </c>
      <c r="I18" t="inlineStr">
        <is>
          <t>https://naaptol.com</t>
        </is>
      </c>
      <c r="J18" t="inlineStr"/>
      <c r="K18" t="inlineStr"/>
      <c r="L18" t="inlineStr">
        <is>
          <t>India</t>
        </is>
      </c>
      <c r="M18" t="n">
        <v>43000000</v>
      </c>
      <c r="N18" s="2" t="n">
        <v>98</v>
      </c>
      <c r="O18" s="2" t="inlineStr">
        <is>
          <t>A - Hot</t>
        </is>
      </c>
      <c r="P18" t="inlineStr">
        <is>
          <t>Tier 1 - C-Suite/Founder</t>
        </is>
      </c>
      <c r="Q18" t="inlineStr">
        <is>
          <t>C-Suite/Founder / Ops/Tech/Finance/Commercial</t>
        </is>
      </c>
      <c r="R18" t="inlineStr"/>
      <c r="S18" s="3" t="inlineStr">
        <is>
          <t>Hi Suresh, we help teams like Naaptol Online Shopping Pvt. Ltd's tackle stockouts and excess inventory that the ERP reports only after the fact with AI add-ons to their existing ERP — no replatforming. Keen to connect and swap notes.</t>
        </is>
      </c>
      <c r="T18" s="3" t="inlineStr">
        <is>
          <t>Thanks for connecting, Suresh. Quick context: we ship SKU-level demand forecasting and auto-replenishment on top of your ERP. Teams typically start with one narrow use case and see results in weeks, not an ERP-project timeline. Worth a short look for Naaptol Online Shopping Pvt. Ltd?</t>
        </is>
      </c>
      <c r="U18" s="3" t="inlineStr">
        <is>
          <t>Last note from me, Suresh — timing is everything with these projects. If an AI-on-ERP pilot becomes relevant at Naaptol Online Shopping Pvt. Ltd later, my line's open. Wishing you a strong quarter.</t>
        </is>
      </c>
      <c r="V18" t="inlineStr">
        <is>
          <t>AI on top of Naaptol Online Shopping Pvt. Ltd's ERP — one small use case</t>
        </is>
      </c>
      <c r="W18" s="3" t="inlineStr">
        <is>
          <t>Hi Suresh,
As Vice President-Operations &amp; BI at Naaptol Online Shopping Pvt.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Naaptol Online Shopping Pvt. Ltd?
Best,
{{SENDER_NAME}}
{{SENDER_EMAIL}} | Book directly: {{CALENDLY_URL}}
P.S. If this isn't relevant, reply "no thanks" and I won't follow up again.</t>
        </is>
      </c>
      <c r="X18" t="inlineStr">
        <is>
          <t>Re: one small AI use case for Naaptol Online Shopping Pvt. Ltd</t>
        </is>
      </c>
      <c r="Y18" s="3" t="inlineStr">
        <is>
          <t>Hi Suresh,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8" t="inlineStr">
        <is>
          <t>Should I stay or should I go, Suresh?</t>
        </is>
      </c>
      <c r="AA18" s="3" t="inlineStr">
        <is>
          <t>Hi Suresh,
I'll close the loop here — inbox zero is sacred.
If stockouts and excess inventory that the ERP reports only after the fact becomes a priority at Naaptol Online Shopping Pvt.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8" t="inlineStr">
        <is>
          <t>Draft</t>
        </is>
      </c>
      <c r="AC18" t="n">
        <v>0</v>
      </c>
      <c r="AD18" t="inlineStr"/>
      <c r="AE18" t="inlineStr"/>
      <c r="AF18" t="inlineStr"/>
    </row>
    <row r="19">
      <c r="A19" t="inlineStr">
        <is>
          <t>Ishaan</t>
        </is>
      </c>
      <c r="B19" t="inlineStr">
        <is>
          <t>Bhatnagar</t>
        </is>
      </c>
      <c r="C19" t="inlineStr">
        <is>
          <t>CEO's office</t>
        </is>
      </c>
      <c r="D19" t="inlineStr">
        <is>
          <t>Manish Malhotra</t>
        </is>
      </c>
      <c r="E19" t="inlineStr">
        <is>
          <t>ishaan.bhatnagar@manishmalhotra.in</t>
        </is>
      </c>
      <c r="F19" t="n">
        <v>510</v>
      </c>
      <c r="G19" t="inlineStr">
        <is>
          <t>apparel &amp; fashion</t>
        </is>
      </c>
      <c r="H19" t="inlineStr">
        <is>
          <t>http://www.linkedin.com/in/ishaan-bhatnagar-3189a628</t>
        </is>
      </c>
      <c r="I19" t="inlineStr">
        <is>
          <t>https://manishmalhotra.in</t>
        </is>
      </c>
      <c r="J19" t="inlineStr"/>
      <c r="K19" t="inlineStr">
        <is>
          <t>Metro Manila</t>
        </is>
      </c>
      <c r="L19" t="inlineStr">
        <is>
          <t>Philippines</t>
        </is>
      </c>
      <c r="M19" t="n">
        <v>115000000</v>
      </c>
      <c r="N19" s="2" t="n">
        <v>98</v>
      </c>
      <c r="O19" s="2" t="inlineStr">
        <is>
          <t>A - Hot</t>
        </is>
      </c>
      <c r="P19" t="inlineStr">
        <is>
          <t>Tier 1 - C-Suite/Founder</t>
        </is>
      </c>
      <c r="Q19" t="inlineStr">
        <is>
          <t>C-Suite/Founder / General management</t>
        </is>
      </c>
      <c r="R19" t="inlineStr"/>
      <c r="S19" s="3" t="inlineStr">
        <is>
          <t>Hi Ishaan, I work with apparel &amp; fashion leaders on measurable margin and working-capital gains within a quarter — lightweight AI that plugs into the ERP you already run. Given your seat at Manish Malhotra, thought it was worth connecting.</t>
        </is>
      </c>
      <c r="T19" s="3" t="inlineStr">
        <is>
          <t>Thanks for connecting, Ishaan. Quick context: we ship size-curve planning and season-buy optimization that reads straight from your ERP. Teams typically start with one narrow use case and see results in weeks, not an ERP-project timeline. Worth a short look for Manish Malhotra?</t>
        </is>
      </c>
      <c r="U19" s="3" t="inlineStr">
        <is>
          <t>Ishaan, I'll leave this here rather than keep nudging — if broken size sets and end-of-season markdowns ever climbs the priority list at Manish Malhotra, a 15-minute call is all it takes to see if there's a fit. Either way, good luck this quarter.</t>
        </is>
      </c>
      <c r="V19" t="inlineStr">
        <is>
          <t>Broken size sets at Manish Malhotra?</t>
        </is>
      </c>
      <c r="W19" s="3" t="inlineStr">
        <is>
          <t>Hi Ishaan,
As CEO's office at Manish Malhotra,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Manish Malhotra?
Best,
{{SENDER_NAME}}
{{SENDER_EMAIL}} | Book directly: {{CALENDLY_URL}}
P.S. If this isn't relevant, reply "no thanks" and I won't follow up again.</t>
        </is>
      </c>
      <c r="X19" t="inlineStr">
        <is>
          <t>How teams like Manish Malhotra start with AI on ERP</t>
        </is>
      </c>
      <c r="Y19" s="3" t="inlineStr">
        <is>
          <t>Hi Ishaan,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19" t="inlineStr">
        <is>
          <t>Last note — AI on ERP at Manish Malhotra</t>
        </is>
      </c>
      <c r="AA19" s="3" t="inlineStr">
        <is>
          <t>Hi Ishaan,
I'll close the loop here — inbox zero is sacred.
If broken size sets and end-of-season markdowns becomes a priority at Manish Malhotra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19" t="inlineStr">
        <is>
          <t>Draft</t>
        </is>
      </c>
      <c r="AC19" t="n">
        <v>0</v>
      </c>
      <c r="AD19" t="inlineStr"/>
      <c r="AE19" t="inlineStr"/>
      <c r="AF19" t="inlineStr"/>
    </row>
    <row r="20">
      <c r="A20" t="inlineStr">
        <is>
          <t>Sushant</t>
        </is>
      </c>
      <c r="B20" t="inlineStr">
        <is>
          <t>Dash</t>
        </is>
      </c>
      <c r="C20" t="inlineStr">
        <is>
          <t>CEO</t>
        </is>
      </c>
      <c r="D20" t="inlineStr">
        <is>
          <t>Starbucks India</t>
        </is>
      </c>
      <c r="E20" t="inlineStr">
        <is>
          <t>sushant.dash@tatastarbucks.com</t>
        </is>
      </c>
      <c r="F20" t="n">
        <v>2800</v>
      </c>
      <c r="G20" t="inlineStr">
        <is>
          <t>retail</t>
        </is>
      </c>
      <c r="H20" t="inlineStr">
        <is>
          <t>http://www.linkedin.com/in/sushant-dash-502a4015</t>
        </is>
      </c>
      <c r="I20" t="inlineStr">
        <is>
          <t>https://starbucks.in</t>
        </is>
      </c>
      <c r="J20" t="inlineStr">
        <is>
          <t>Mumbai</t>
        </is>
      </c>
      <c r="K20" t="inlineStr">
        <is>
          <t>Maharashtra</t>
        </is>
      </c>
      <c r="L20" t="inlineStr">
        <is>
          <t>India</t>
        </is>
      </c>
      <c r="M20" t="n">
        <v>150000000</v>
      </c>
      <c r="N20" s="2" t="n">
        <v>98</v>
      </c>
      <c r="O20" s="2" t="inlineStr">
        <is>
          <t>A - Hot</t>
        </is>
      </c>
      <c r="P20" t="inlineStr">
        <is>
          <t>Tier 1 - C-Suite/Founder</t>
        </is>
      </c>
      <c r="Q20" t="inlineStr">
        <is>
          <t>C-Suite/Founder / General management</t>
        </is>
      </c>
      <c r="R20" t="inlineStr"/>
      <c r="S20" s="3" t="inlineStr">
        <is>
          <t>Hi Sushant, your work as CEO at Starbucks India caught my eye. We build small AI use cases that sit on top of existing ERPs — think measurable margin and working-capital gains within a quarter. Would be glad to connect.</t>
        </is>
      </c>
      <c r="T20" s="3" t="inlineStr">
        <is>
          <t>Thanks for connecting, Sushant. Quick context: we ship SKU-level demand forecasting and auto-replenishment on top of your ERP. Teams typically start with one narrow use case and see results in weeks, not an ERP-project timeline. Worth a short look for Starbucks India?</t>
        </is>
      </c>
      <c r="U20" s="3" t="inlineStr">
        <is>
          <t>Last note from me, Sushant — timing is everything with these projects. If an AI-on-ERP pilot becomes relevant at Starbucks India later, my line's open. Wishing you a strong quarter.</t>
        </is>
      </c>
      <c r="V20" t="inlineStr">
        <is>
          <t>Sushant, a faster fix for stockouts</t>
        </is>
      </c>
      <c r="W20" s="3" t="inlineStr">
        <is>
          <t>Hi Sushant,
As CEO at Starbucks India,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Starbucks India?
Best,
{{SENDER_NAME}}
{{SENDER_EMAIL}} | Book directly: {{CALENDLY_URL}}
P.S. If this isn't relevant, reply "no thanks" and I won't follow up again.</t>
        </is>
      </c>
      <c r="X20" t="inlineStr">
        <is>
          <t>How teams like Starbucks India start with AI on ERP</t>
        </is>
      </c>
      <c r="Y20" s="3" t="inlineStr">
        <is>
          <t>Hi Sushant,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20" t="inlineStr">
        <is>
          <t>Should I stay or should I go, Sushant?</t>
        </is>
      </c>
      <c r="AA20" s="3" t="inlineStr">
        <is>
          <t>Hi Sushant,
I'll close the loop here — inbox zero is sacred.
If stockouts and excess inventory that the ERP reports only after the fact becomes a priority at Starbucks India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20" t="inlineStr">
        <is>
          <t>Draft</t>
        </is>
      </c>
      <c r="AC20" t="n">
        <v>0</v>
      </c>
      <c r="AD20" t="inlineStr"/>
      <c r="AE20" t="inlineStr"/>
      <c r="AF20" t="inlineStr"/>
    </row>
    <row r="21">
      <c r="A21" t="inlineStr">
        <is>
          <t>Sanjeev</t>
        </is>
      </c>
      <c r="B21" t="inlineStr">
        <is>
          <t>Rathi</t>
        </is>
      </c>
      <c r="C21" t="inlineStr">
        <is>
          <t>Vice President Logistics</t>
        </is>
      </c>
      <c r="D21" t="inlineStr">
        <is>
          <t>Naaptol Online Shopping Pvt. Ltd</t>
        </is>
      </c>
      <c r="E21" t="inlineStr">
        <is>
          <t>sanjeev.rathi@naaptol.com</t>
        </is>
      </c>
      <c r="F21" t="n">
        <v>890</v>
      </c>
      <c r="G21" t="inlineStr">
        <is>
          <t>retail</t>
        </is>
      </c>
      <c r="H21" t="inlineStr">
        <is>
          <t>http://www.linkedin.com/in/sanjeev-rathi-9b4963b</t>
        </is>
      </c>
      <c r="I21" t="inlineStr">
        <is>
          <t>https://naaptol.com</t>
        </is>
      </c>
      <c r="J21" t="inlineStr">
        <is>
          <t>New Delhi</t>
        </is>
      </c>
      <c r="K21" t="inlineStr">
        <is>
          <t>Delhi</t>
        </is>
      </c>
      <c r="L21" t="inlineStr">
        <is>
          <t>India</t>
        </is>
      </c>
      <c r="M21" t="n">
        <v>43000000</v>
      </c>
      <c r="N21" s="2" t="n">
        <v>98</v>
      </c>
      <c r="O21" s="2" t="inlineStr">
        <is>
          <t>A - Hot</t>
        </is>
      </c>
      <c r="P21" t="inlineStr">
        <is>
          <t>Tier 1 - C-Suite/Founder</t>
        </is>
      </c>
      <c r="Q21" t="inlineStr">
        <is>
          <t>C-Suite/Founder / Ops/Tech/Finance/Commercial</t>
        </is>
      </c>
      <c r="R21" t="inlineStr"/>
      <c r="S21" s="3" t="inlineStr">
        <is>
          <t>Hi Sanjeev, I work with retail leaders on fewer stockouts and far less manual reconciliation — lightweight AI that plugs into the ERP you already run. Given your seat at Naaptol Online Shopping Pvt. Ltd, thought it was worth connecting.</t>
        </is>
      </c>
      <c r="T21" s="3" t="inlineStr">
        <is>
          <t>Thanks for connecting, Sanjeev. Quick context: we ship SKU-level demand forecasting and auto-replenishment on top of your ERP. Teams typically start with one narrow use case and see results in weeks, not an ERP-project timeline. Worth a short look for Naaptol Online Shopping Pvt. Ltd?</t>
        </is>
      </c>
      <c r="U21" s="3" t="inlineStr">
        <is>
          <t>Last note from me, Sanjeev — timing is everything with these projects. If an AI-on-ERP pilot becomes relevant at Naaptol Online Shopping Pvt. Ltd later, my line's open. Wishing you a strong quarter.</t>
        </is>
      </c>
      <c r="V21" t="inlineStr">
        <is>
          <t>Sanjeev, a faster fix for stockouts</t>
        </is>
      </c>
      <c r="W21" s="3" t="inlineStr">
        <is>
          <t>Hi Sanjeev,
As Vice President Logistics at Naaptol Online Shopping Pvt.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Naaptol Online Shopping Pvt. Ltd?
Best,
{{SENDER_NAME}}
{{SENDER_EMAIL}} | Book directly: {{CALENDLY_URL}}
P.S. If this isn't relevant, reply "no thanks" and I won't follow up again.</t>
        </is>
      </c>
      <c r="X21" t="inlineStr">
        <is>
          <t>Re: one small AI use case for Naaptol Online Shopping Pvt. Ltd</t>
        </is>
      </c>
      <c r="Y21" s="3" t="inlineStr">
        <is>
          <t>Hi Sanjeev,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21" t="inlineStr">
        <is>
          <t>Closing the loop, Sanjeev</t>
        </is>
      </c>
      <c r="AA21" s="3" t="inlineStr">
        <is>
          <t>Hi Sanjeev,
I'll close the loop here — inbox zero is sacred.
If stockouts and excess inventory that the ERP reports only after the fact becomes a priority at Naaptol Online Shopping Pvt.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21" t="inlineStr">
        <is>
          <t>Draft</t>
        </is>
      </c>
      <c r="AC21" t="n">
        <v>0</v>
      </c>
      <c r="AD21" t="inlineStr"/>
      <c r="AE21" t="inlineStr"/>
      <c r="AF21" t="inlineStr"/>
    </row>
    <row r="22">
      <c r="A22" t="inlineStr">
        <is>
          <t>Gautam</t>
        </is>
      </c>
      <c r="B22" t="inlineStr">
        <is>
          <t>Sharma</t>
        </is>
      </c>
      <c r="C22" t="inlineStr">
        <is>
          <t>Group CFO</t>
        </is>
      </c>
      <c r="D22" t="inlineStr">
        <is>
          <t>FirstCry.com (BrainBees Solutions Ltd.)</t>
        </is>
      </c>
      <c r="E22" t="inlineStr">
        <is>
          <t>gautam@firstcry.com</t>
        </is>
      </c>
      <c r="F22" t="n">
        <v>5400</v>
      </c>
      <c r="G22" t="inlineStr">
        <is>
          <t>retail</t>
        </is>
      </c>
      <c r="H22" t="inlineStr">
        <is>
          <t>http://www.linkedin.com/in/cagautamsharma</t>
        </is>
      </c>
      <c r="I22" t="inlineStr">
        <is>
          <t>https://firstcry.com</t>
        </is>
      </c>
      <c r="J22" t="inlineStr">
        <is>
          <t>Pune</t>
        </is>
      </c>
      <c r="K22" t="inlineStr">
        <is>
          <t>Maharashtra</t>
        </is>
      </c>
      <c r="L22" t="inlineStr">
        <is>
          <t>India</t>
        </is>
      </c>
      <c r="M22" t="n">
        <v>685487000</v>
      </c>
      <c r="N22" s="2" t="n">
        <v>98</v>
      </c>
      <c r="O22" s="2" t="inlineStr">
        <is>
          <t>A - Hot</t>
        </is>
      </c>
      <c r="P22" t="inlineStr">
        <is>
          <t>Tier 1 - C-Suite/Founder</t>
        </is>
      </c>
      <c r="Q22" t="inlineStr">
        <is>
          <t>C-Suite/Founder / General management</t>
        </is>
      </c>
      <c r="R22" t="inlineStr"/>
      <c r="S22" s="3" t="inlineStr">
        <is>
          <t>Hi Gautam, we help teams like FirstCry.com (BrainBees Solutions Ltd.)'s tackle stockouts and excess inventory that the ERP reports only after the fact with AI add-ons to their existing ERP — no replatforming. Keen to connect and swap notes.</t>
        </is>
      </c>
      <c r="T22" s="3" t="inlineStr">
        <is>
          <t>Appreciate the connect, Gautam. One idea for FirstCry.com (BrainBees Solutions Ltd.): SKU-level demand forecasting and auto-replenishment on top of your ERP. It runs alongside your current ERP, so there's no migration risk — just one contained pilot. Happy to share how similar teams structure it.</t>
        </is>
      </c>
      <c r="U22" s="3" t="inlineStr">
        <is>
          <t>Gautam, I'll leave this here rather than keep nudging — if stockouts and excess inventory that the ERP reports only after the fact ever climbs the priority list at FirstCry.com (BrainBees Solutions Ltd.), a 15-minute call is all it takes to see if there's a fit. Either way, good luck this quarter.</t>
        </is>
      </c>
      <c r="V22" t="inlineStr">
        <is>
          <t>Stockouts at FirstCry.com (BrainBees Solutions Ltd.)?</t>
        </is>
      </c>
      <c r="W22" s="3" t="inlineStr">
        <is>
          <t>Hi Gautam,
As Group CFO at FirstCry.com (BrainBees Solutions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FirstCry.com (BrainBees Solutions Ltd.)?
Best,
{{SENDER_NAME}}
{{SENDER_EMAIL}} | Book directly: {{CALENDLY_URL}}
P.S. If this isn't relevant, reply "no thanks" and I won't follow up again.</t>
        </is>
      </c>
      <c r="X22" t="inlineStr">
        <is>
          <t>Gautam — the 3-week pilot version</t>
        </is>
      </c>
      <c r="Y22" s="3" t="inlineStr">
        <is>
          <t>Hi Gautam,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22" t="inlineStr">
        <is>
          <t>Should I stay or should I go, Gautam?</t>
        </is>
      </c>
      <c r="AA22" s="3" t="inlineStr">
        <is>
          <t>Hi Gautam,
I'll close the loop here — inbox zero is sacred.
If stockouts and excess inventory that the ERP reports only after the fact becomes a priority at FirstCry.com (BrainBees Solutions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22" t="inlineStr">
        <is>
          <t>Draft</t>
        </is>
      </c>
      <c r="AC22" t="n">
        <v>0</v>
      </c>
      <c r="AD22" t="inlineStr"/>
      <c r="AE22" t="inlineStr"/>
      <c r="AF22" t="inlineStr"/>
    </row>
    <row r="23">
      <c r="A23" t="inlineStr">
        <is>
          <t>Anshul</t>
        </is>
      </c>
      <c r="B23" t="inlineStr">
        <is>
          <t>Asawa</t>
        </is>
      </c>
      <c r="C23" t="inlineStr">
        <is>
          <t>CEO Designate</t>
        </is>
      </c>
      <c r="D23" t="inlineStr">
        <is>
          <t>DMart - Avenue Supermarts Ltd</t>
        </is>
      </c>
      <c r="E23" t="inlineStr">
        <is>
          <t>anshul.asawa@dmartindia.com</t>
        </is>
      </c>
      <c r="F23" t="n">
        <v>14000</v>
      </c>
      <c r="G23" t="inlineStr">
        <is>
          <t>retail</t>
        </is>
      </c>
      <c r="H23" t="inlineStr">
        <is>
          <t>http://www.linkedin.com/in/anshul-asawa</t>
        </is>
      </c>
      <c r="I23" t="inlineStr">
        <is>
          <t>https://dmartindia.com</t>
        </is>
      </c>
      <c r="J23" t="inlineStr">
        <is>
          <t>Mumbai</t>
        </is>
      </c>
      <c r="K23" t="inlineStr">
        <is>
          <t>Maharashtra</t>
        </is>
      </c>
      <c r="L23" t="inlineStr">
        <is>
          <t>India</t>
        </is>
      </c>
      <c r="M23" t="n">
        <v>6952536000</v>
      </c>
      <c r="N23" s="2" t="n">
        <v>97</v>
      </c>
      <c r="O23" s="2" t="inlineStr">
        <is>
          <t>A - Hot</t>
        </is>
      </c>
      <c r="P23" t="inlineStr">
        <is>
          <t>Tier 1 - C-Suite/Founder</t>
        </is>
      </c>
      <c r="Q23" t="inlineStr">
        <is>
          <t>C-Suite/Founder / General management</t>
        </is>
      </c>
      <c r="R23" t="inlineStr"/>
      <c r="S23" s="3" t="inlineStr">
        <is>
          <t>Hi Anshul, I work with retail leaders on measurable margin and working-capital gains within a quarter — lightweight AI that plugs into the ERP you already run. Given your seat at DMart - Avenue Supermarts Ltd, thought it was worth connecting.</t>
        </is>
      </c>
      <c r="T23" s="3" t="inlineStr">
        <is>
          <t>Thanks for connecting, Anshul. Quick context: we ship SKU-level demand forecasting and auto-replenishment on top of your ERP. Teams typically start with one narrow use case and see results in weeks, not an ERP-project timeline. Worth a short look for DMart - Avenue Supermarts Ltd?</t>
        </is>
      </c>
      <c r="U23" s="3" t="inlineStr">
        <is>
          <t>Anshul, I'll leave this here rather than keep nudging — if stockouts and excess inventory that the ERP reports only after the fact ever climbs the priority list at DMart - Avenue Supermarts Ltd, a 15-minute call is all it takes to see if there's a fit. Either way, good luck this quarter.</t>
        </is>
      </c>
      <c r="V23" t="inlineStr">
        <is>
          <t>Stockouts at DMart - Avenue Supermarts Ltd?</t>
        </is>
      </c>
      <c r="W23" s="3" t="inlineStr">
        <is>
          <t>Hi Anshul,
As CEO Designate at DMart - Avenue Supermarts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DMart - Avenue Supermarts Ltd?
Best,
{{SENDER_NAME}}
{{SENDER_EMAIL}} | Book directly: {{CALENDLY_URL}}
P.S. If this isn't relevant, reply "no thanks" and I won't follow up again.</t>
        </is>
      </c>
      <c r="X23" t="inlineStr">
        <is>
          <t>Anshul — the 3-week pilot version</t>
        </is>
      </c>
      <c r="Y23" s="3" t="inlineStr">
        <is>
          <t>Hi Anshul,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23" t="inlineStr">
        <is>
          <t>Closing the loop, Anshul</t>
        </is>
      </c>
      <c r="AA23" s="3" t="inlineStr">
        <is>
          <t>Hi Anshul,
I'll close the loop here — inbox zero is sacred.
If stockouts and excess inventory that the ERP reports only after the fact becomes a priority at DMart - Avenue Supermarts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23" t="inlineStr">
        <is>
          <t>Draft</t>
        </is>
      </c>
      <c r="AC23" t="n">
        <v>0</v>
      </c>
      <c r="AD23" t="inlineStr"/>
      <c r="AE23" t="inlineStr"/>
      <c r="AF23" t="inlineStr"/>
    </row>
    <row r="24">
      <c r="A24" t="inlineStr">
        <is>
          <t>Gopal</t>
        </is>
      </c>
      <c r="B24" t="inlineStr">
        <is>
          <t>Garg</t>
        </is>
      </c>
      <c r="C24" t="inlineStr">
        <is>
          <t>Chief Financial Officer</t>
        </is>
      </c>
      <c r="D24" t="inlineStr">
        <is>
          <t>SKS Ispat &amp; Power Ltd.</t>
        </is>
      </c>
      <c r="E24" t="inlineStr">
        <is>
          <t>gopalgarg@sksispat.com</t>
        </is>
      </c>
      <c r="F24" t="n">
        <v>360</v>
      </c>
      <c r="G24" t="inlineStr">
        <is>
          <t>retail</t>
        </is>
      </c>
      <c r="H24" t="inlineStr">
        <is>
          <t>http://www.linkedin.com/in/gopal-garg-03a148b1</t>
        </is>
      </c>
      <c r="I24" t="inlineStr">
        <is>
          <t>https://sksispat.com</t>
        </is>
      </c>
      <c r="J24" t="inlineStr">
        <is>
          <t>Raipur</t>
        </is>
      </c>
      <c r="K24" t="inlineStr">
        <is>
          <t>Chhattisgarh</t>
        </is>
      </c>
      <c r="L24" t="inlineStr">
        <is>
          <t>India</t>
        </is>
      </c>
      <c r="M24" t="n">
        <v>185000000</v>
      </c>
      <c r="N24" s="2" t="n">
        <v>97</v>
      </c>
      <c r="O24" s="2" t="inlineStr">
        <is>
          <t>A - Hot</t>
        </is>
      </c>
      <c r="P24" t="inlineStr">
        <is>
          <t>Tier 1 - C-Suite/Founder</t>
        </is>
      </c>
      <c r="Q24" t="inlineStr">
        <is>
          <t>C-Suite/Founder / Ops/Tech/Finance/Commercial</t>
        </is>
      </c>
      <c r="R24" t="inlineStr"/>
      <c r="S24" s="3" t="inlineStr">
        <is>
          <t>Hi Gopal, I work with retail leaders on recovering margin leakage and freeing working capital trapped in inventory — lightweight AI that plugs into the ERP you already run. Given your seat at SKS Ispat &amp; Power Ltd., thought it was worth connecting.</t>
        </is>
      </c>
      <c r="T24" s="3" t="inlineStr">
        <is>
          <t>Glad to be connected, Gopal. Most retail teams we meet struggle with stockouts and excess inventory that the ERP reports only after the fact. We fix exactly that with SKU-level demand forecasting and auto-replenishment on top of your ERP. Open to a 15-minute walkthrough?</t>
        </is>
      </c>
      <c r="U24" s="3" t="inlineStr">
        <is>
          <t>Gopal, I'll leave this here rather than keep nudging — if stockouts and excess inventory that the ERP reports only after the fact ever climbs the priority list at SKS Ispat &amp; Power Ltd., a 15-minute call is all it takes to see if there's a fit. Either way, good luck this quarter.</t>
        </is>
      </c>
      <c r="V24" t="inlineStr">
        <is>
          <t>AI on top of SKS Ispat &amp; Power Ltd.'s ERP — one small use case</t>
        </is>
      </c>
      <c r="W24" s="3" t="inlineStr">
        <is>
          <t>Hi Gopal,
As Chief Financial Officer at SKS Ispat &amp; Power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SKS Ispat &amp; Power Ltd.?
Best,
{{SENDER_NAME}}
{{SENDER_EMAIL}} | Book directly: {{CALENDLY_URL}}
P.S. If this isn't relevant, reply "no thanks" and I won't follow up again.</t>
        </is>
      </c>
      <c r="X24" t="inlineStr">
        <is>
          <t>Re: one small AI use case for SKS Ispat &amp; Power Ltd.</t>
        </is>
      </c>
      <c r="Y24" s="3" t="inlineStr">
        <is>
          <t>Hi Gopal,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24" t="inlineStr">
        <is>
          <t>Last note — AI on ERP at SKS Ispat &amp; Power Ltd.</t>
        </is>
      </c>
      <c r="AA24" s="3" t="inlineStr">
        <is>
          <t>Hi Gopal,
I'll close the loop here — inbox zero is sacred.
If stockouts and excess inventory that the ERP reports only after the fact becomes a priority at SKS Ispat &amp; Power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24" t="inlineStr">
        <is>
          <t>Draft</t>
        </is>
      </c>
      <c r="AC24" t="n">
        <v>0</v>
      </c>
      <c r="AD24" t="inlineStr"/>
      <c r="AE24" t="inlineStr"/>
      <c r="AF24" t="inlineStr"/>
    </row>
    <row r="25">
      <c r="A25" t="inlineStr">
        <is>
          <t>Srinivasan</t>
        </is>
      </c>
      <c r="B25" t="inlineStr">
        <is>
          <t>Sankaran</t>
        </is>
      </c>
      <c r="C25" t="inlineStr">
        <is>
          <t>Vice President Procurement</t>
        </is>
      </c>
      <c r="D25" t="inlineStr">
        <is>
          <t>Aditya Birla Fashion and Retail Ltd.</t>
        </is>
      </c>
      <c r="E25" t="inlineStr">
        <is>
          <t>srinivasan.s@adityabirla.com</t>
        </is>
      </c>
      <c r="F25" t="n">
        <v>27000</v>
      </c>
      <c r="G25" t="inlineStr">
        <is>
          <t>apparel &amp; fashion</t>
        </is>
      </c>
      <c r="H25" t="inlineStr">
        <is>
          <t>http://www.linkedin.com/in/srinivasan-sankaran-6b469424a</t>
        </is>
      </c>
      <c r="I25" t="inlineStr">
        <is>
          <t>https://abfrl.com</t>
        </is>
      </c>
      <c r="J25" t="inlineStr">
        <is>
          <t>Bengaluru</t>
        </is>
      </c>
      <c r="K25" t="inlineStr">
        <is>
          <t>Karnataka</t>
        </is>
      </c>
      <c r="L25" t="inlineStr">
        <is>
          <t>India</t>
        </is>
      </c>
      <c r="M25" t="n">
        <v>1550313000</v>
      </c>
      <c r="N25" s="2" t="n">
        <v>97</v>
      </c>
      <c r="O25" s="2" t="inlineStr">
        <is>
          <t>A - Hot</t>
        </is>
      </c>
      <c r="P25" t="inlineStr">
        <is>
          <t>Tier 1 - C-Suite/Founder</t>
        </is>
      </c>
      <c r="Q25" t="inlineStr">
        <is>
          <t>C-Suite/Founder / Ops/Tech/Finance/Commercial</t>
        </is>
      </c>
      <c r="R25" t="inlineStr"/>
      <c r="S25" s="3" t="inlineStr">
        <is>
          <t>Hi Srinivasan, your work as Vice President Procurement at Aditya Birla Fashion and Retail Ltd. caught my eye. We build small AI use cases that sit on top of existing ERPs — think fewer stockouts and far less manual reconciliation. Would be glad to connect.</t>
        </is>
      </c>
      <c r="T25" s="3" t="inlineStr">
        <is>
          <t>Appreciate the connect, Srinivasan. One idea for Aditya Birla Fashion and Retail Ltd.: size-curve planning and season-buy optimization that reads straight from your ERP. It runs alongside your current ERP, so there's no migration risk — just one contained pilot. Happy to share how similar teams structure it.</t>
        </is>
      </c>
      <c r="U25" s="3" t="inlineStr">
        <is>
          <t>Srinivasan, I'll leave this here rather than keep nudging — if broken size sets and end-of-season markdowns ever climbs the priority list at Aditya Birla Fashion and Retail Ltd., a 15-minute call is all it takes to see if there's a fit. Either way, good luck this quarter.</t>
        </is>
      </c>
      <c r="V25" t="inlineStr">
        <is>
          <t>Srinivasan, a faster fix for broken size sets</t>
        </is>
      </c>
      <c r="W25" s="3" t="inlineStr">
        <is>
          <t>Hi Srinivasan,
As Vice President Procurement at Aditya Birla Fashion and Retail Ltd.,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fewer stockouts and far less manual reconciliation.
Open to a 15-minute call to see if there's a fit for Aditya Birla Fashion and Retail Ltd.?
Best,
{{SENDER_NAME}}
{{SENDER_EMAIL}} | Book directly: {{CALENDLY_URL}}
P.S. If this isn't relevant, reply "no thanks" and I won't follow up again.</t>
        </is>
      </c>
      <c r="X25" t="inlineStr">
        <is>
          <t>Re: one small AI use case for Aditya Birla Fashion and Retail Ltd.</t>
        </is>
      </c>
      <c r="Y25" s="3" t="inlineStr">
        <is>
          <t>Hi Srinivasan,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25" t="inlineStr">
        <is>
          <t>Closing the loop, Srinivasan</t>
        </is>
      </c>
      <c r="AA25" s="3" t="inlineStr">
        <is>
          <t>Hi Srinivasan,
I'll close the loop here — inbox zero is sacred.
If broken size sets and end-of-season markdowns becomes a priority at Aditya Birla Fashion and Retail Ltd.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25" t="inlineStr">
        <is>
          <t>Draft</t>
        </is>
      </c>
      <c r="AC25" t="n">
        <v>0</v>
      </c>
      <c r="AD25" t="inlineStr"/>
      <c r="AE25" t="inlineStr"/>
      <c r="AF25" t="inlineStr"/>
    </row>
    <row r="26">
      <c r="A26" t="inlineStr">
        <is>
          <t>Mathew</t>
        </is>
      </c>
      <c r="B26" t="inlineStr">
        <is>
          <t>Ambat</t>
        </is>
      </c>
      <c r="C26" t="inlineStr">
        <is>
          <t>Assistant Vice President - Buying And Merchandising</t>
        </is>
      </c>
      <c r="D26" t="inlineStr">
        <is>
          <t>Aditya Birla Fashion and Retail Ltd.</t>
        </is>
      </c>
      <c r="E26" t="inlineStr">
        <is>
          <t>mathew.ambat@abfrl.adityabirla.com</t>
        </is>
      </c>
      <c r="F26" t="n">
        <v>27000</v>
      </c>
      <c r="G26" t="inlineStr">
        <is>
          <t>apparel &amp; fashion</t>
        </is>
      </c>
      <c r="H26" t="inlineStr">
        <is>
          <t>http://www.linkedin.com/in/mathew-ambat-b41715178</t>
        </is>
      </c>
      <c r="I26" t="inlineStr">
        <is>
          <t>https://abfrl.com</t>
        </is>
      </c>
      <c r="J26" t="inlineStr">
        <is>
          <t>Mumbai</t>
        </is>
      </c>
      <c r="K26" t="inlineStr">
        <is>
          <t>Maharashtra</t>
        </is>
      </c>
      <c r="L26" t="inlineStr">
        <is>
          <t>India</t>
        </is>
      </c>
      <c r="M26" t="n">
        <v>1550313000</v>
      </c>
      <c r="N26" s="2" t="n">
        <v>97</v>
      </c>
      <c r="O26" s="2" t="inlineStr">
        <is>
          <t>A - Hot</t>
        </is>
      </c>
      <c r="P26" t="inlineStr">
        <is>
          <t>Tier 1 - C-Suite/Founder</t>
        </is>
      </c>
      <c r="Q26" t="inlineStr">
        <is>
          <t>C-Suite/Founder / Ops/Tech/Finance/Commercial</t>
        </is>
      </c>
      <c r="R26" t="inlineStr"/>
      <c r="S26" s="3" t="inlineStr">
        <is>
          <t>Hi Mathew, your work as Assistant Vice President - Buying And Merchandising at Aditya Birla Fashion and Retail Ltd. caught my eye. We build small AI use cases that sit on top of existing ERPs — think measurable margin and working-capital gains within a quarter. Would be glad to connect.</t>
        </is>
      </c>
      <c r="T26" s="3" t="inlineStr">
        <is>
          <t>Thanks for connecting, Mathew. Quick context: we ship size-curve planning and season-buy optimization that reads straight from your ERP. Teams typically start with one narrow use case and see results in weeks, not an ERP-project timeline. Worth a short look for Aditya Birla Fashion and Retail Ltd.?</t>
        </is>
      </c>
      <c r="U26" s="3" t="inlineStr">
        <is>
          <t>Last note from me, Mathew — timing is everything with these projects. If an AI-on-ERP pilot becomes relevant at Aditya Birla Fashion and Retail Ltd. later, my line's open. Wishing you a strong quarter.</t>
        </is>
      </c>
      <c r="V26" t="inlineStr">
        <is>
          <t>AI on top of Aditya Birla Fashion and Retail Ltd.'s ERP — one small use case</t>
        </is>
      </c>
      <c r="W26" s="3" t="inlineStr">
        <is>
          <t>Hi Mathew,
As Assistant Vice President - Buying And Merchandising at Aditya Birla Fashion and Retail Ltd.,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Aditya Birla Fashion and Retail Ltd.?
Best,
{{SENDER_NAME}}
{{SENDER_EMAIL}} | Book directly: {{CALENDLY_URL}}
P.S. If this isn't relevant, reply "no thanks" and I won't follow up again.</t>
        </is>
      </c>
      <c r="X26" t="inlineStr">
        <is>
          <t>Re: one small AI use case for Aditya Birla Fashion and Retail Ltd.</t>
        </is>
      </c>
      <c r="Y26" s="3" t="inlineStr">
        <is>
          <t>Hi Mathew,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26" t="inlineStr">
        <is>
          <t>Closing the loop, Mathew</t>
        </is>
      </c>
      <c r="AA26" s="3" t="inlineStr">
        <is>
          <t>Hi Mathew,
I'll close the loop here — inbox zero is sacred.
If broken size sets and end-of-season markdowns becomes a priority at Aditya Birla Fashion and Retail Ltd.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26" t="inlineStr">
        <is>
          <t>Draft</t>
        </is>
      </c>
      <c r="AC26" t="n">
        <v>0</v>
      </c>
      <c r="AD26" t="inlineStr"/>
      <c r="AE26" t="inlineStr"/>
      <c r="AF26" t="inlineStr"/>
    </row>
    <row r="27">
      <c r="A27" t="inlineStr">
        <is>
          <t>Saravanan</t>
        </is>
      </c>
      <c r="B27" t="inlineStr">
        <is>
          <t>K</t>
        </is>
      </c>
      <c r="C27" t="inlineStr">
        <is>
          <t>Vice President Information Technology</t>
        </is>
      </c>
      <c r="D27" t="inlineStr">
        <is>
          <t>Aditya Birla Fashion and Retail Ltd.</t>
        </is>
      </c>
      <c r="E27" t="inlineStr">
        <is>
          <t>k.saravanan@abfrl.adityabirla.com</t>
        </is>
      </c>
      <c r="F27" t="n">
        <v>27000</v>
      </c>
      <c r="G27" t="inlineStr">
        <is>
          <t>apparel &amp; fashion</t>
        </is>
      </c>
      <c r="H27" t="inlineStr">
        <is>
          <t>http://www.linkedin.com/in/saravanan-k-53b9a92b</t>
        </is>
      </c>
      <c r="I27" t="inlineStr">
        <is>
          <t>https://abfrl.com</t>
        </is>
      </c>
      <c r="J27" t="inlineStr">
        <is>
          <t>Bengaluru</t>
        </is>
      </c>
      <c r="K27" t="inlineStr">
        <is>
          <t>Karnataka</t>
        </is>
      </c>
      <c r="L27" t="inlineStr">
        <is>
          <t>India</t>
        </is>
      </c>
      <c r="M27" t="n">
        <v>1550313000</v>
      </c>
      <c r="N27" s="2" t="n">
        <v>97</v>
      </c>
      <c r="O27" s="2" t="inlineStr">
        <is>
          <t>A - Hot</t>
        </is>
      </c>
      <c r="P27" t="inlineStr">
        <is>
          <t>Tier 1 - C-Suite/Founder</t>
        </is>
      </c>
      <c r="Q27" t="inlineStr">
        <is>
          <t>C-Suite/Founder / Ops/Tech/Finance/Commercial</t>
        </is>
      </c>
      <c r="R27" t="inlineStr"/>
      <c r="S27" s="3" t="inlineStr">
        <is>
          <t>Hi Saravanan, we help teams like Aditya Birla Fashion and Retail Ltd.'s tackle broken size sets and end-of-season markdowns with AI add-ons to their existing ERP — no replatforming. Keen to connect and swap notes.</t>
        </is>
      </c>
      <c r="T27" s="3" t="inlineStr">
        <is>
          <t>Appreciate the connect, Saravanan. One idea for Aditya Birla Fashion and Retail Ltd.: size-curve planning and season-buy optimization that reads straight from your ERP. It runs alongside your current ERP, so there's no migration risk — just one contained pilot. Happy to share how similar teams structure it.</t>
        </is>
      </c>
      <c r="U27" s="3" t="inlineStr">
        <is>
          <t>Last note from me, Saravanan — timing is everything with these projects. If an AI-on-ERP pilot becomes relevant at Aditya Birla Fashion and Retail Ltd. later, my line's open. Wishing you a strong quarter.</t>
        </is>
      </c>
      <c r="V27" t="inlineStr">
        <is>
          <t>AI on top of Aditya Birla Fashion and Retail Ltd.'s ERP — one small use case</t>
        </is>
      </c>
      <c r="W27" s="3" t="inlineStr">
        <is>
          <t>Hi Saravanan,
As Vice President Information Technology at Aditya Birla Fashion and Retail Ltd.,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Aditya Birla Fashion and Retail Ltd.?
Best,
{{SENDER_NAME}}
{{SENDER_EMAIL}} | Book directly: {{CALENDLY_URL}}
P.S. If this isn't relevant, reply "no thanks" and I won't follow up again.</t>
        </is>
      </c>
      <c r="X27" t="inlineStr">
        <is>
          <t>Saravanan — the 3-week pilot version</t>
        </is>
      </c>
      <c r="Y27" s="3" t="inlineStr">
        <is>
          <t>Hi Saravanan,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27" t="inlineStr">
        <is>
          <t>Last note — AI on ERP at Aditya Birla Fashion and Retail Ltd.</t>
        </is>
      </c>
      <c r="AA27" s="3" t="inlineStr">
        <is>
          <t>Hi Saravanan,
I'll close the loop here — inbox zero is sacred.
If broken size sets and end-of-season markdowns becomes a priority at Aditya Birla Fashion and Retail Ltd.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27" t="inlineStr">
        <is>
          <t>Draft</t>
        </is>
      </c>
      <c r="AC27" t="n">
        <v>0</v>
      </c>
      <c r="AD27" t="inlineStr"/>
      <c r="AE27" t="inlineStr"/>
      <c r="AF27" t="inlineStr"/>
    </row>
    <row r="28">
      <c r="A28" t="inlineStr">
        <is>
          <t>Rajesh</t>
        </is>
      </c>
      <c r="B28" t="inlineStr">
        <is>
          <t>Annamalai</t>
        </is>
      </c>
      <c r="C28" t="inlineStr">
        <is>
          <t>CFO - Ethnic and Intl Brands Business, Head - Treasury ABFRL</t>
        </is>
      </c>
      <c r="D28" t="inlineStr">
        <is>
          <t>Aditya Birla Fashion and Retail Ltd.</t>
        </is>
      </c>
      <c r="E28" t="inlineStr">
        <is>
          <t>rajesh.a@abfrl.adityabirla.com</t>
        </is>
      </c>
      <c r="F28" t="n">
        <v>27000</v>
      </c>
      <c r="G28" t="inlineStr">
        <is>
          <t>apparel &amp; fashion</t>
        </is>
      </c>
      <c r="H28" t="inlineStr">
        <is>
          <t>http://www.linkedin.com/in/rajesh-annamalai-72950815</t>
        </is>
      </c>
      <c r="I28" t="inlineStr">
        <is>
          <t>https://abfrl.com</t>
        </is>
      </c>
      <c r="J28" t="inlineStr">
        <is>
          <t>Mumbai</t>
        </is>
      </c>
      <c r="K28" t="inlineStr">
        <is>
          <t>Maharashtra</t>
        </is>
      </c>
      <c r="L28" t="inlineStr">
        <is>
          <t>India</t>
        </is>
      </c>
      <c r="M28" t="n">
        <v>1550313000</v>
      </c>
      <c r="N28" s="2" t="n">
        <v>97</v>
      </c>
      <c r="O28" s="2" t="inlineStr">
        <is>
          <t>A - Hot</t>
        </is>
      </c>
      <c r="P28" t="inlineStr">
        <is>
          <t>Tier 1 - C-Suite/Founder</t>
        </is>
      </c>
      <c r="Q28" t="inlineStr">
        <is>
          <t>C-Suite/Founder / Ops/Tech/Finance/Commercial</t>
        </is>
      </c>
      <c r="R28" t="inlineStr"/>
      <c r="S28" s="3" t="inlineStr">
        <is>
          <t>Hi Rajesh, I work with apparel &amp; fashion leaders on recovering margin leakage and freeing working capital trapped in inventory — lightweight AI that plugs into the ERP you already run. Given your seat at Aditya Birla Fashion and Retail Ltd., thought it was worth connecting.</t>
        </is>
      </c>
      <c r="T28" s="3" t="inlineStr">
        <is>
          <t>Appreciate the connect, Rajesh. One idea for Aditya Birla Fashion and Retail Ltd.: size-curve planning and season-buy optimization that reads straight from your ERP. It runs alongside your current ERP, so there's no migration risk — just one contained pilot. Happy to share how similar teams structure it.</t>
        </is>
      </c>
      <c r="U28" s="3" t="inlineStr">
        <is>
          <t>Rajesh, closing the loop so I'm not another unread ping. If it's useful, I can send a one-pager on size-curve planning and season-buy optimization that reads straight from your ERP for Aditya Birla Fashion and Retail Ltd. — zero meetings needed. Just say the word.</t>
        </is>
      </c>
      <c r="V28" t="inlineStr">
        <is>
          <t>AI on top of Aditya Birla Fashion and Retail Ltd.'s ERP — one small use case</t>
        </is>
      </c>
      <c r="W28" s="3" t="inlineStr">
        <is>
          <t>Hi Rajesh,
As CFO - Ethnic and Intl Brands Business, Head - Treasury ABFRL at Aditya Birla Fashion and Retail Ltd.,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Aditya Birla Fashion and Retail Ltd.?
Best,
{{SENDER_NAME}}
{{SENDER_EMAIL}} | Book directly: {{CALENDLY_URL}}
P.S. If this isn't relevant, reply "no thanks" and I won't follow up again.</t>
        </is>
      </c>
      <c r="X28" t="inlineStr">
        <is>
          <t>How teams like Aditya Birla Fashion and Retail Ltd. start with AI on ERP</t>
        </is>
      </c>
      <c r="Y28" s="3" t="inlineStr">
        <is>
          <t>Hi Rajesh,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28" t="inlineStr">
        <is>
          <t>Closing the loop, Rajesh</t>
        </is>
      </c>
      <c r="AA28" s="3" t="inlineStr">
        <is>
          <t>Hi Rajesh,
I'll close the loop here — inbox zero is sacred.
If broken size sets and end-of-season markdowns becomes a priority at Aditya Birla Fashion and Retail Ltd.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28" t="inlineStr">
        <is>
          <t>Draft</t>
        </is>
      </c>
      <c r="AC28" t="n">
        <v>0</v>
      </c>
      <c r="AD28" t="inlineStr"/>
      <c r="AE28" t="inlineStr"/>
      <c r="AF28" t="inlineStr"/>
    </row>
    <row r="29">
      <c r="A29" t="inlineStr">
        <is>
          <t>Khiroda</t>
        </is>
      </c>
      <c r="B29" t="inlineStr">
        <is>
          <t>Jena</t>
        </is>
      </c>
      <c r="C29" t="inlineStr">
        <is>
          <t>Chief Financial Officer Operations</t>
        </is>
      </c>
      <c r="D29" t="inlineStr">
        <is>
          <t>Bombay Dyeing</t>
        </is>
      </c>
      <c r="E29" t="inlineStr">
        <is>
          <t>khiroda.jena@bombaydyeing.com</t>
        </is>
      </c>
      <c r="F29" t="n">
        <v>450</v>
      </c>
      <c r="G29" t="inlineStr">
        <is>
          <t>retail</t>
        </is>
      </c>
      <c r="H29" t="inlineStr">
        <is>
          <t>http://www.linkedin.com/in/khiroda-jena-1a732833</t>
        </is>
      </c>
      <c r="I29" t="inlineStr">
        <is>
          <t>https://bombaydyeing.com</t>
        </is>
      </c>
      <c r="J29" t="inlineStr">
        <is>
          <t>Mumbai</t>
        </is>
      </c>
      <c r="K29" t="inlineStr">
        <is>
          <t>Maharashtra</t>
        </is>
      </c>
      <c r="L29" t="inlineStr">
        <is>
          <t>India</t>
        </is>
      </c>
      <c r="M29" t="n">
        <v>190015000</v>
      </c>
      <c r="N29" s="2" t="n">
        <v>97</v>
      </c>
      <c r="O29" s="2" t="inlineStr">
        <is>
          <t>A - Hot</t>
        </is>
      </c>
      <c r="P29" t="inlineStr">
        <is>
          <t>Tier 1 - C-Suite/Founder</t>
        </is>
      </c>
      <c r="Q29" t="inlineStr">
        <is>
          <t>C-Suite/Founder / Ops/Tech/Finance/Commercial</t>
        </is>
      </c>
      <c r="R29" t="inlineStr"/>
      <c r="S29" s="3" t="inlineStr">
        <is>
          <t>Hi Khiroda, your work as Chief Financial Officer Operations at Bombay Dyeing caught my eye. We build small AI use cases that sit on top of existing ERPs — think recovering margin leakage and freeing working capital trapped in inventory. Would be glad to connect.</t>
        </is>
      </c>
      <c r="T29" s="3" t="inlineStr">
        <is>
          <t>Thanks for connecting, Khiroda. Quick context: we ship SKU-level demand forecasting and auto-replenishment on top of your ERP. Teams typically start with one narrow use case and see results in weeks, not an ERP-project timeline. Worth a short look for Bombay Dyeing?</t>
        </is>
      </c>
      <c r="U29" s="3" t="inlineStr">
        <is>
          <t>Khiroda, I'll leave this here rather than keep nudging — if stockouts and excess inventory that the ERP reports only after the fact ever climbs the priority list at Bombay Dyeing, a 15-minute call is all it takes to see if there's a fit. Either way, good luck this quarter.</t>
        </is>
      </c>
      <c r="V29" t="inlineStr">
        <is>
          <t>Khiroda, a faster fix for stockouts</t>
        </is>
      </c>
      <c r="W29" s="3" t="inlineStr">
        <is>
          <t>Hi Khiroda,
As Chief Financial Officer Operations at Bombay Dyeing,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Bombay Dyeing?
Best,
{{SENDER_NAME}}
{{SENDER_EMAIL}} | Book directly: {{CALENDLY_URL}}
P.S. If this isn't relevant, reply "no thanks" and I won't follow up again.</t>
        </is>
      </c>
      <c r="X29" t="inlineStr">
        <is>
          <t>Re: one small AI use case for Bombay Dyeing</t>
        </is>
      </c>
      <c r="Y29" s="3" t="inlineStr">
        <is>
          <t>Hi Khiroda,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29" t="inlineStr">
        <is>
          <t>Last note — AI on ERP at Bombay Dyeing</t>
        </is>
      </c>
      <c r="AA29" s="3" t="inlineStr">
        <is>
          <t>Hi Khiroda,
I'll close the loop here — inbox zero is sacred.
If stockouts and excess inventory that the ERP reports only after the fact becomes a priority at Bombay Dyeing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29" t="inlineStr">
        <is>
          <t>Draft</t>
        </is>
      </c>
      <c r="AC29" t="n">
        <v>0</v>
      </c>
      <c r="AD29" t="inlineStr"/>
      <c r="AE29" t="inlineStr"/>
      <c r="AF29" t="inlineStr"/>
    </row>
    <row r="30">
      <c r="A30" t="inlineStr">
        <is>
          <t>Dharmendar</t>
        </is>
      </c>
      <c r="B30" t="inlineStr">
        <is>
          <t>Jain</t>
        </is>
      </c>
      <c r="C30" t="inlineStr">
        <is>
          <t>CFO</t>
        </is>
      </c>
      <c r="D30" t="inlineStr">
        <is>
          <t>Trent Hypermarket Pvt Ltd-Star Bazaar- A Tata &amp; Tesco Enterprise</t>
        </is>
      </c>
      <c r="E30" t="inlineStr">
        <is>
          <t>dharmendar.jain@trenthyper-tata.com</t>
        </is>
      </c>
      <c r="F30" t="n">
        <v>1100</v>
      </c>
      <c r="G30" t="inlineStr">
        <is>
          <t>retail</t>
        </is>
      </c>
      <c r="H30" t="inlineStr">
        <is>
          <t>http://www.linkedin.com/in/dharmendar-jain-dbjain</t>
        </is>
      </c>
      <c r="I30" t="inlineStr">
        <is>
          <t>https://starbazaarindia.com</t>
        </is>
      </c>
      <c r="J30" t="inlineStr">
        <is>
          <t>Mumbai</t>
        </is>
      </c>
      <c r="K30" t="inlineStr">
        <is>
          <t>Maharashtra</t>
        </is>
      </c>
      <c r="L30" t="inlineStr">
        <is>
          <t>India</t>
        </is>
      </c>
      <c r="M30" t="n">
        <v>2599000000</v>
      </c>
      <c r="N30" s="2" t="n">
        <v>97</v>
      </c>
      <c r="O30" s="2" t="inlineStr">
        <is>
          <t>A - Hot</t>
        </is>
      </c>
      <c r="P30" t="inlineStr">
        <is>
          <t>Tier 1 - C-Suite/Founder</t>
        </is>
      </c>
      <c r="Q30" t="inlineStr">
        <is>
          <t>C-Suite/Founder / General management</t>
        </is>
      </c>
      <c r="R30" t="inlineStr"/>
      <c r="S30" s="3" t="inlineStr">
        <is>
          <t>Hi Dharmendar, I work with retail leaders on recovering margin leakage and freeing working capital trapped in inventory — lightweight AI that plugs into the ERP you already run. Given your seat at Trent Hypermarket Pvt Ltd-Star Bazaar- A Tata &amp; Tesco Enterprise, thought it was worth connecting.</t>
        </is>
      </c>
      <c r="T30" s="3" t="inlineStr">
        <is>
          <t>Glad to be connected, Dharmendar. Most retail teams we meet struggle with stockouts and excess inventory that the ERP reports only after the fact. We fix exactly that with SKU-level demand forecasting and auto-replenishment on top of your ERP. Open to a 15-minute walkthrough?</t>
        </is>
      </c>
      <c r="U30" s="3" t="inlineStr">
        <is>
          <t>Last note from me, Dharmendar — timing is everything with these projects. If an AI-on-ERP pilot becomes relevant at Trent Hypermarket Pvt Ltd-Star Bazaar- A Tata &amp; Tesco Enterprise later, my line's open. Wishing you a strong quarter.</t>
        </is>
      </c>
      <c r="V30" t="inlineStr">
        <is>
          <t>Dharmendar, a faster fix for stockouts</t>
        </is>
      </c>
      <c r="W30" s="3" t="inlineStr">
        <is>
          <t>Hi Dharmendar,
As CFO at Trent Hypermarket Pvt Ltd-Star Bazaar- A Tata &amp; Tesco Enterprise,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Trent Hypermarket Pvt Ltd-Star Bazaar- A Tata &amp; Tesco Enterprise?
Best,
{{SENDER_NAME}}
{{SENDER_EMAIL}} | Book directly: {{CALENDLY_URL}}
P.S. If this isn't relevant, reply "no thanks" and I won't follow up again.</t>
        </is>
      </c>
      <c r="X30" t="inlineStr">
        <is>
          <t>Dharmendar — the 3-week pilot version</t>
        </is>
      </c>
      <c r="Y30" s="3" t="inlineStr">
        <is>
          <t>Hi Dharmendar,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30" t="inlineStr">
        <is>
          <t>Closing the loop, Dharmendar</t>
        </is>
      </c>
      <c r="AA30" s="3" t="inlineStr">
        <is>
          <t>Hi Dharmendar,
I'll close the loop here — inbox zero is sacred.
If stockouts and excess inventory that the ERP reports only after the fact becomes a priority at Trent Hypermarket Pvt Ltd-Star Bazaar- A Tata &amp; Tesco Enterprise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30" t="inlineStr">
        <is>
          <t>Draft</t>
        </is>
      </c>
      <c r="AC30" t="n">
        <v>0</v>
      </c>
      <c r="AD30" t="inlineStr"/>
      <c r="AE30" t="inlineStr"/>
      <c r="AF30" t="inlineStr"/>
    </row>
    <row r="31">
      <c r="A31" t="inlineStr">
        <is>
          <t>Ashish</t>
        </is>
      </c>
      <c r="B31" t="inlineStr">
        <is>
          <t>Awal</t>
        </is>
      </c>
      <c r="C31" t="inlineStr">
        <is>
          <t>Vice President Distribution Value Channel and Retail Partner Relationship Management</t>
        </is>
      </c>
      <c r="D31" t="inlineStr">
        <is>
          <t>Pepe Jeans India Limited</t>
        </is>
      </c>
      <c r="E31" t="inlineStr">
        <is>
          <t>aawal@pepejeansindia.com</t>
        </is>
      </c>
      <c r="F31" t="n">
        <v>420</v>
      </c>
      <c r="G31" t="inlineStr">
        <is>
          <t>apparel &amp; fashion</t>
        </is>
      </c>
      <c r="H31" t="inlineStr">
        <is>
          <t>http://www.linkedin.com/in/ashish-awal-6486b99b</t>
        </is>
      </c>
      <c r="I31" t="inlineStr">
        <is>
          <t>https://pepejeans.in</t>
        </is>
      </c>
      <c r="J31" t="inlineStr">
        <is>
          <t>Mumbai</t>
        </is>
      </c>
      <c r="K31" t="inlineStr">
        <is>
          <t>Maharashtra</t>
        </is>
      </c>
      <c r="L31" t="inlineStr">
        <is>
          <t>India</t>
        </is>
      </c>
      <c r="M31" t="n">
        <v>144000000</v>
      </c>
      <c r="N31" s="2" t="n">
        <v>97</v>
      </c>
      <c r="O31" s="2" t="inlineStr">
        <is>
          <t>A - Hot</t>
        </is>
      </c>
      <c r="P31" t="inlineStr">
        <is>
          <t>Tier 1 - C-Suite/Founder</t>
        </is>
      </c>
      <c r="Q31" t="inlineStr">
        <is>
          <t>C-Suite/Founder / Ops/Tech/Finance/Commercial</t>
        </is>
      </c>
      <c r="R31" t="inlineStr"/>
      <c r="S31" s="3" t="inlineStr">
        <is>
          <t>Hi Ashish, your work as Vice President Distribution Value Channel and Retail Partner Relationship Management at Pepe Jeans India Limited caught my eye. We build small AI use cases that sit on top of existing ERPs — think fewer stockouts and far less manual reconciliation. Would be glad to connect.</t>
        </is>
      </c>
      <c r="T31" s="3" t="inlineStr">
        <is>
          <t>Appreciate the connect, Ashish. One idea for Pepe Jeans India Limited: size-curve planning and season-buy optimization that reads straight from your ERP. It runs alongside your current ERP, so there's no migration risk — just one contained pilot. Happy to share how similar teams structure it.</t>
        </is>
      </c>
      <c r="U31" s="3" t="inlineStr">
        <is>
          <t>Last note from me, Ashish — timing is everything with these projects. If an AI-on-ERP pilot becomes relevant at Pepe Jeans India Limited later, my line's open. Wishing you a strong quarter.</t>
        </is>
      </c>
      <c r="V31" t="inlineStr">
        <is>
          <t>Broken size sets at Pepe Jeans India Limited?</t>
        </is>
      </c>
      <c r="W31" s="3" t="inlineStr">
        <is>
          <t>Hi Ashish,
As Vice President Distribution Value Channel and Retail Partner Relationship Management at Pepe Jeans India Limited,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fewer stockouts and far less manual reconciliation.
Open to a 15-minute call to see if there's a fit for Pepe Jeans India Limited?
Best,
{{SENDER_NAME}}
{{SENDER_EMAIL}} | Book directly: {{CALENDLY_URL}}
P.S. If this isn't relevant, reply "no thanks" and I won't follow up again.</t>
        </is>
      </c>
      <c r="X31" t="inlineStr">
        <is>
          <t>How teams like Pepe Jeans India Limited start with AI on ERP</t>
        </is>
      </c>
      <c r="Y31" s="3" t="inlineStr">
        <is>
          <t>Hi Ashish,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31" t="inlineStr">
        <is>
          <t>Closing the loop, Ashish</t>
        </is>
      </c>
      <c r="AA31" s="3" t="inlineStr">
        <is>
          <t>Hi Ashish,
I'll close the loop here — inbox zero is sacred.
If broken size sets and end-of-season markdowns becomes a priority at Pepe Jeans India Limited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31" t="inlineStr">
        <is>
          <t>Draft</t>
        </is>
      </c>
      <c r="AC31" t="n">
        <v>0</v>
      </c>
      <c r="AD31" t="inlineStr"/>
      <c r="AE31" t="inlineStr"/>
      <c r="AF31" t="inlineStr"/>
    </row>
    <row r="32">
      <c r="A32" t="inlineStr">
        <is>
          <t>Aditya</t>
        </is>
      </c>
      <c r="B32" t="inlineStr">
        <is>
          <t>Sharma</t>
        </is>
      </c>
      <c r="C32" t="inlineStr">
        <is>
          <t>Co-founder &amp; Director</t>
        </is>
      </c>
      <c r="D32" t="inlineStr">
        <is>
          <t>The Souled Store</t>
        </is>
      </c>
      <c r="E32" t="inlineStr">
        <is>
          <t>aditya@thesouledstore.com</t>
        </is>
      </c>
      <c r="F32" t="n">
        <v>740</v>
      </c>
      <c r="G32" t="inlineStr">
        <is>
          <t>apparel &amp; fashion</t>
        </is>
      </c>
      <c r="H32" t="inlineStr">
        <is>
          <t>http://www.linkedin.com/in/aditya-sharma-33018634</t>
        </is>
      </c>
      <c r="I32" t="inlineStr">
        <is>
          <t>https://thesouledstore.com</t>
        </is>
      </c>
      <c r="J32" t="inlineStr"/>
      <c r="K32" t="inlineStr">
        <is>
          <t>Maharashtra</t>
        </is>
      </c>
      <c r="L32" t="inlineStr">
        <is>
          <t>India</t>
        </is>
      </c>
      <c r="M32" t="n">
        <v>42000000</v>
      </c>
      <c r="N32" s="2" t="n">
        <v>96</v>
      </c>
      <c r="O32" s="2" t="inlineStr">
        <is>
          <t>A - Hot</t>
        </is>
      </c>
      <c r="P32" t="inlineStr">
        <is>
          <t>Tier 1 - C-Suite/Founder</t>
        </is>
      </c>
      <c r="Q32" t="inlineStr">
        <is>
          <t>C-Suite/Founder / General management</t>
        </is>
      </c>
      <c r="R32" t="inlineStr"/>
      <c r="S32" s="3" t="inlineStr">
        <is>
          <t>Hi Aditya, your work as Co-founder &amp; Director at The Souled Store caught my eye. We build small AI use cases that sit on top of existing ERPs — think adding AI capability without any rip-and-replace of the current ERP. Would be glad to connect.</t>
        </is>
      </c>
      <c r="T32" s="3" t="inlineStr">
        <is>
          <t>Thanks for connecting, Aditya. Quick context: we ship size-curve planning and season-buy optimization that reads straight from your ERP. Teams typically start with one narrow use case and see results in weeks, not an ERP-project timeline. Worth a short look for The Souled Store?</t>
        </is>
      </c>
      <c r="U32" s="3" t="inlineStr">
        <is>
          <t>Aditya, I'll leave this here rather than keep nudging — if broken size sets and end-of-season markdowns ever climbs the priority list at The Souled Store, a 15-minute call is all it takes to see if there's a fit. Either way, good luck this quarter.</t>
        </is>
      </c>
      <c r="V32" t="inlineStr">
        <is>
          <t>AI on top of The Souled Store's ERP — one small use case</t>
        </is>
      </c>
      <c r="W32" s="3" t="inlineStr">
        <is>
          <t>Hi Aditya,
As Co-founder &amp; Director at The Souled Store,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The Souled Store?
Best,
{{SENDER_NAME}}
{{SENDER_EMAIL}} | Book directly: {{CALENDLY_URL}}
P.S. If this isn't relevant, reply "no thanks" and I won't follow up again.</t>
        </is>
      </c>
      <c r="X32" t="inlineStr">
        <is>
          <t>Aditya — the 3-week pilot version</t>
        </is>
      </c>
      <c r="Y32" s="3" t="inlineStr">
        <is>
          <t>Hi Aditya,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32" t="inlineStr">
        <is>
          <t>Last note — AI on ERP at The Souled Store</t>
        </is>
      </c>
      <c r="AA32" s="3" t="inlineStr">
        <is>
          <t>Hi Aditya,
I'll close the loop here — inbox zero is sacred.
If broken size sets and end-of-season markdowns becomes a priority at The Souled Store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32" t="inlineStr">
        <is>
          <t>Draft</t>
        </is>
      </c>
      <c r="AC32" t="n">
        <v>0</v>
      </c>
      <c r="AD32" t="inlineStr"/>
      <c r="AE32" t="inlineStr"/>
      <c r="AF32" t="inlineStr"/>
    </row>
    <row r="33">
      <c r="A33" t="inlineStr">
        <is>
          <t>Yogesh</t>
        </is>
      </c>
      <c r="B33" t="inlineStr">
        <is>
          <t>Poojara</t>
        </is>
      </c>
      <c r="C33" t="inlineStr">
        <is>
          <t>Founder &amp; Chairman</t>
        </is>
      </c>
      <c r="D33" t="inlineStr">
        <is>
          <t>Poojara Telecom</t>
        </is>
      </c>
      <c r="E33" t="inlineStr">
        <is>
          <t>yogesh@poojaratele.com</t>
        </is>
      </c>
      <c r="F33" t="n">
        <v>2500</v>
      </c>
      <c r="G33" t="inlineStr">
        <is>
          <t>retail</t>
        </is>
      </c>
      <c r="H33" t="inlineStr">
        <is>
          <t>http://www.linkedin.com/in/ylpoojara</t>
        </is>
      </c>
      <c r="I33" t="inlineStr">
        <is>
          <t>https://poojaratele.com</t>
        </is>
      </c>
      <c r="J33" t="inlineStr"/>
      <c r="K33" t="inlineStr">
        <is>
          <t>Gujarat</t>
        </is>
      </c>
      <c r="L33" t="inlineStr">
        <is>
          <t>India</t>
        </is>
      </c>
      <c r="M33" t="n">
        <v>61000000</v>
      </c>
      <c r="N33" s="2" t="n">
        <v>96</v>
      </c>
      <c r="O33" s="2" t="inlineStr">
        <is>
          <t>A - Hot</t>
        </is>
      </c>
      <c r="P33" t="inlineStr">
        <is>
          <t>Tier 1 - C-Suite/Founder</t>
        </is>
      </c>
      <c r="Q33" t="inlineStr">
        <is>
          <t>C-Suite/Founder / General management</t>
        </is>
      </c>
      <c r="R33" t="inlineStr"/>
      <c r="S33" s="3" t="inlineStr">
        <is>
          <t>Hi Yogesh, your work as Founder &amp; Chairman at Poojara Telecom caught my eye. We build small AI use cases that sit on top of existing ERPs — think measurable margin and working-capital gains within a quarter. Would be glad to connect.</t>
        </is>
      </c>
      <c r="T33" s="3" t="inlineStr">
        <is>
          <t>Appreciate the connect, Yogesh. One idea for Poojara Telecom: SKU-level demand forecasting and auto-replenishment on top of your ERP. It runs alongside your current ERP, so there's no migration risk — just one contained pilot. Happy to share how similar teams structure it.</t>
        </is>
      </c>
      <c r="U33" s="3" t="inlineStr">
        <is>
          <t>Yogesh, I'll leave this here rather than keep nudging — if stockouts and excess inventory that the ERP reports only after the fact ever climbs the priority list at Poojara Telecom, a 15-minute call is all it takes to see if there's a fit. Either way, good luck this quarter.</t>
        </is>
      </c>
      <c r="V33" t="inlineStr">
        <is>
          <t>AI on top of Poojara Telecom's ERP — one small use case</t>
        </is>
      </c>
      <c r="W33" s="3" t="inlineStr">
        <is>
          <t>Hi Yogesh,
As Founder &amp; Chairman at Poojara Telecom,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Poojara Telecom?
Best,
{{SENDER_NAME}}
{{SENDER_EMAIL}} | Book directly: {{CALENDLY_URL}}
P.S. If this isn't relevant, reply "no thanks" and I won't follow up again.</t>
        </is>
      </c>
      <c r="X33" t="inlineStr">
        <is>
          <t>Re: one small AI use case for Poojara Telecom</t>
        </is>
      </c>
      <c r="Y33" s="3" t="inlineStr">
        <is>
          <t>Hi Yogesh,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33" t="inlineStr">
        <is>
          <t>Should I stay or should I go, Yogesh?</t>
        </is>
      </c>
      <c r="AA33" s="3" t="inlineStr">
        <is>
          <t>Hi Yogesh,
I'll close the loop here — inbox zero is sacred.
If stockouts and excess inventory that the ERP reports only after the fact becomes a priority at Poojara Telecom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33" t="inlineStr">
        <is>
          <t>Draft</t>
        </is>
      </c>
      <c r="AC33" t="n">
        <v>0</v>
      </c>
      <c r="AD33" t="inlineStr"/>
      <c r="AE33" t="inlineStr"/>
      <c r="AF33" t="inlineStr"/>
    </row>
    <row r="34">
      <c r="A34" t="inlineStr">
        <is>
          <t>Manu</t>
        </is>
      </c>
      <c r="B34" t="inlineStr">
        <is>
          <t>Agarwal</t>
        </is>
      </c>
      <c r="C34" t="inlineStr">
        <is>
          <t>Founder and CEO</t>
        </is>
      </c>
      <c r="D34" t="inlineStr">
        <is>
          <t>Naaptol Online Shopping Pvt. Ltd</t>
        </is>
      </c>
      <c r="E34" t="inlineStr">
        <is>
          <t>manu.agarwal@naaptol.com</t>
        </is>
      </c>
      <c r="F34" t="n">
        <v>890</v>
      </c>
      <c r="G34" t="inlineStr">
        <is>
          <t>retail</t>
        </is>
      </c>
      <c r="H34" t="inlineStr">
        <is>
          <t>http://www.linkedin.com/in/agarwalmanu</t>
        </is>
      </c>
      <c r="I34" t="inlineStr">
        <is>
          <t>https://naaptol.com</t>
        </is>
      </c>
      <c r="J34" t="inlineStr">
        <is>
          <t>Mumbai</t>
        </is>
      </c>
      <c r="K34" t="inlineStr">
        <is>
          <t>Maharashtra</t>
        </is>
      </c>
      <c r="L34" t="inlineStr">
        <is>
          <t>India</t>
        </is>
      </c>
      <c r="M34" t="n">
        <v>43000000</v>
      </c>
      <c r="N34" s="2" t="n">
        <v>96</v>
      </c>
      <c r="O34" s="2" t="inlineStr">
        <is>
          <t>A - Hot</t>
        </is>
      </c>
      <c r="P34" t="inlineStr">
        <is>
          <t>Tier 1 - C-Suite/Founder</t>
        </is>
      </c>
      <c r="Q34" t="inlineStr">
        <is>
          <t>C-Suite/Founder / General management</t>
        </is>
      </c>
      <c r="R34" t="inlineStr"/>
      <c r="S34" s="3" t="inlineStr">
        <is>
          <t>Hi Manu, your work as Founder and CEO at Naaptol Online Shopping Pvt. Ltd caught my eye. We build small AI use cases that sit on top of existing ERPs — think measurable margin and working-capital gains within a quarter. Would be glad to connect.</t>
        </is>
      </c>
      <c r="T34" s="3" t="inlineStr">
        <is>
          <t>Appreciate the connect, Manu. One idea for Naaptol Online Shopping Pvt. Ltd: SKU-level demand forecasting and auto-replenishment on top of your ERP. It runs alongside your current ERP, so there's no migration risk — just one contained pilot. Happy to share how similar teams structure it.</t>
        </is>
      </c>
      <c r="U34" s="3" t="inlineStr">
        <is>
          <t>Manu, I'll leave this here rather than keep nudging — if stockouts and excess inventory that the ERP reports only after the fact ever climbs the priority list at Naaptol Online Shopping Pvt. Ltd, a 15-minute call is all it takes to see if there's a fit. Either way, good luck this quarter.</t>
        </is>
      </c>
      <c r="V34" t="inlineStr">
        <is>
          <t>Stockouts at Naaptol Online Shopping Pvt. Ltd?</t>
        </is>
      </c>
      <c r="W34" s="3" t="inlineStr">
        <is>
          <t>Hi Manu,
As Founder and CEO at Naaptol Online Shopping Pvt.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Naaptol Online Shopping Pvt. Ltd?
Best,
{{SENDER_NAME}}
{{SENDER_EMAIL}} | Book directly: {{CALENDLY_URL}}
P.S. If this isn't relevant, reply "no thanks" and I won't follow up again.</t>
        </is>
      </c>
      <c r="X34" t="inlineStr">
        <is>
          <t>Manu — the 3-week pilot version</t>
        </is>
      </c>
      <c r="Y34" s="3" t="inlineStr">
        <is>
          <t>Hi Manu,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34" t="inlineStr">
        <is>
          <t>Should I stay or should I go, Manu?</t>
        </is>
      </c>
      <c r="AA34" s="3" t="inlineStr">
        <is>
          <t>Hi Manu,
I'll close the loop here — inbox zero is sacred.
If stockouts and excess inventory that the ERP reports only after the fact becomes a priority at Naaptol Online Shopping Pvt.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34" t="inlineStr">
        <is>
          <t>Draft</t>
        </is>
      </c>
      <c r="AC34" t="n">
        <v>0</v>
      </c>
      <c r="AD34" t="inlineStr"/>
      <c r="AE34" t="inlineStr"/>
      <c r="AF34" t="inlineStr"/>
    </row>
    <row r="35">
      <c r="A35" t="inlineStr">
        <is>
          <t>Tinkal</t>
        </is>
      </c>
      <c r="B35" t="inlineStr">
        <is>
          <t>Singh</t>
        </is>
      </c>
      <c r="C35" t="inlineStr">
        <is>
          <t>Assistant Manager: Data Analyst to COO</t>
        </is>
      </c>
      <c r="D35" t="inlineStr">
        <is>
          <t>More Retail Private Limited</t>
        </is>
      </c>
      <c r="E35" t="inlineStr">
        <is>
          <t>tinkal.s@moreretail.in</t>
        </is>
      </c>
      <c r="F35" t="n">
        <v>11000</v>
      </c>
      <c r="G35" t="inlineStr">
        <is>
          <t>retail</t>
        </is>
      </c>
      <c r="H35" t="inlineStr">
        <is>
          <t>http://www.linkedin.com/in/tinkal-singh-0583741b3</t>
        </is>
      </c>
      <c r="I35" t="inlineStr">
        <is>
          <t>https://moreretail.in</t>
        </is>
      </c>
      <c r="J35" t="inlineStr">
        <is>
          <t>New Delhi</t>
        </is>
      </c>
      <c r="K35" t="inlineStr">
        <is>
          <t>Delhi</t>
        </is>
      </c>
      <c r="L35" t="inlineStr">
        <is>
          <t>India</t>
        </is>
      </c>
      <c r="M35" t="n">
        <v>54000000</v>
      </c>
      <c r="N35" s="2" t="n">
        <v>96</v>
      </c>
      <c r="O35" s="2" t="inlineStr">
        <is>
          <t>A - Hot</t>
        </is>
      </c>
      <c r="P35" t="inlineStr">
        <is>
          <t>Tier 1 - C-Suite/Founder</t>
        </is>
      </c>
      <c r="Q35" t="inlineStr">
        <is>
          <t>C-Suite/Founder / General management</t>
        </is>
      </c>
      <c r="R35" t="inlineStr"/>
      <c r="S35" s="3" t="inlineStr">
        <is>
          <t>Hi Tinkal, we help teams like More Retail Private Limited's tackle stockouts and excess inventory that the ERP reports only after the fact with AI add-ons to their existing ERP — no replatforming. Keen to connect and swap notes.</t>
        </is>
      </c>
      <c r="T35" s="3" t="inlineStr">
        <is>
          <t>Thanks for connecting, Tinkal. Quick context: we ship SKU-level demand forecasting and auto-replenishment on top of your ERP. Teams typically start with one narrow use case and see results in weeks, not an ERP-project timeline. Worth a short look for More Retail Private Limited?</t>
        </is>
      </c>
      <c r="U35" s="3" t="inlineStr">
        <is>
          <t>Tinkal, closing the loop so I'm not another unread ping. If it's useful, I can send a one-pager on SKU-level demand forecasting and auto-replenishment on top of your ERP for More Retail Private Limited — zero meetings needed. Just say the word.</t>
        </is>
      </c>
      <c r="V35" t="inlineStr">
        <is>
          <t>Stockouts at More Retail Private Limited?</t>
        </is>
      </c>
      <c r="W35" s="3" t="inlineStr">
        <is>
          <t>Hi Tinkal,
As Assistant Manager: Data Analyst to COO at More Retail Private Limited,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More Retail Private Limited?
Best,
{{SENDER_NAME}}
{{SENDER_EMAIL}} | Book directly: {{CALENDLY_URL}}
P.S. If this isn't relevant, reply "no thanks" and I won't follow up again.</t>
        </is>
      </c>
      <c r="X35" t="inlineStr">
        <is>
          <t>Tinkal — the 3-week pilot version</t>
        </is>
      </c>
      <c r="Y35" s="3" t="inlineStr">
        <is>
          <t>Hi Tinkal,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35" t="inlineStr">
        <is>
          <t>Last note — AI on ERP at More Retail Private Limited</t>
        </is>
      </c>
      <c r="AA35" s="3" t="inlineStr">
        <is>
          <t>Hi Tinkal,
I'll close the loop here — inbox zero is sacred.
If stockouts and excess inventory that the ERP reports only after the fact becomes a priority at More Retail Private Limited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35" t="inlineStr">
        <is>
          <t>Draft</t>
        </is>
      </c>
      <c r="AC35" t="n">
        <v>0</v>
      </c>
      <c r="AD35" t="inlineStr"/>
      <c r="AE35" t="inlineStr"/>
      <c r="AF35" t="inlineStr"/>
    </row>
    <row r="36">
      <c r="A36" t="inlineStr">
        <is>
          <t>Vedang</t>
        </is>
      </c>
      <c r="B36" t="inlineStr">
        <is>
          <t>Patel</t>
        </is>
      </c>
      <c r="C36" t="inlineStr">
        <is>
          <t>Co-Founder</t>
        </is>
      </c>
      <c r="D36" t="inlineStr">
        <is>
          <t>The Souled Store</t>
        </is>
      </c>
      <c r="E36" t="inlineStr">
        <is>
          <t>vedang@thesouledstore.com</t>
        </is>
      </c>
      <c r="F36" t="n">
        <v>740</v>
      </c>
      <c r="G36" t="inlineStr">
        <is>
          <t>apparel &amp; fashion</t>
        </is>
      </c>
      <c r="H36" t="inlineStr">
        <is>
          <t>http://www.linkedin.com/in/vedang-patel-40aba34b</t>
        </is>
      </c>
      <c r="I36" t="inlineStr">
        <is>
          <t>https://thesouledstore.com</t>
        </is>
      </c>
      <c r="J36" t="inlineStr">
        <is>
          <t>Mumbai</t>
        </is>
      </c>
      <c r="K36" t="inlineStr">
        <is>
          <t>Maharashtra</t>
        </is>
      </c>
      <c r="L36" t="inlineStr">
        <is>
          <t>India</t>
        </is>
      </c>
      <c r="M36" t="n">
        <v>42000000</v>
      </c>
      <c r="N36" s="2" t="n">
        <v>96</v>
      </c>
      <c r="O36" s="2" t="inlineStr">
        <is>
          <t>A - Hot</t>
        </is>
      </c>
      <c r="P36" t="inlineStr">
        <is>
          <t>Tier 1 - C-Suite/Founder</t>
        </is>
      </c>
      <c r="Q36" t="inlineStr">
        <is>
          <t>C-Suite/Founder / General management</t>
        </is>
      </c>
      <c r="R36" t="inlineStr"/>
      <c r="S36" s="3" t="inlineStr">
        <is>
          <t>Hi Vedang, we help teams like The Souled Store's tackle broken size sets and end-of-season markdowns with AI add-ons to their existing ERP — no replatforming. Keen to connect and swap notes.</t>
        </is>
      </c>
      <c r="T36" s="3" t="inlineStr">
        <is>
          <t>Glad to be connected, Vedang. Most apparel &amp; fashion teams we meet struggle with broken size sets and end-of-season markdowns. We fix exactly that with size-curve planning and season-buy optimization that reads straight from your ERP. Open to a 15-minute walkthrough?</t>
        </is>
      </c>
      <c r="U36" s="3" t="inlineStr">
        <is>
          <t>Vedang, closing the loop so I'm not another unread ping. If it's useful, I can send a one-pager on size-curve planning and season-buy optimization that reads straight from your ERP for The Souled Store — zero meetings needed. Just say the word.</t>
        </is>
      </c>
      <c r="V36" t="inlineStr">
        <is>
          <t>Broken size sets at The Souled Store?</t>
        </is>
      </c>
      <c r="W36" s="3" t="inlineStr">
        <is>
          <t>Hi Vedang,
As Co-Founder at The Souled Store,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The Souled Store?
Best,
{{SENDER_NAME}}
{{SENDER_EMAIL}} | Book directly: {{CALENDLY_URL}}
P.S. If this isn't relevant, reply "no thanks" and I won't follow up again.</t>
        </is>
      </c>
      <c r="X36" t="inlineStr">
        <is>
          <t>Vedang — the 3-week pilot version</t>
        </is>
      </c>
      <c r="Y36" s="3" t="inlineStr">
        <is>
          <t>Hi Vedang,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36" t="inlineStr">
        <is>
          <t>Last note — AI on ERP at The Souled Store</t>
        </is>
      </c>
      <c r="AA36" s="3" t="inlineStr">
        <is>
          <t>Hi Vedang,
I'll close the loop here — inbox zero is sacred.
If broken size sets and end-of-season markdowns becomes a priority at The Souled Store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36" t="inlineStr">
        <is>
          <t>Draft</t>
        </is>
      </c>
      <c r="AC36" t="n">
        <v>0</v>
      </c>
      <c r="AD36" t="inlineStr"/>
      <c r="AE36" t="inlineStr"/>
      <c r="AF36" t="inlineStr"/>
    </row>
    <row r="37">
      <c r="A37" t="inlineStr">
        <is>
          <t>Verma</t>
        </is>
      </c>
      <c r="B37" t="inlineStr"/>
      <c r="C37" t="inlineStr">
        <is>
          <t>CFO</t>
        </is>
      </c>
      <c r="D37" t="inlineStr">
        <is>
          <t>Pratibha Syntex Ltd.</t>
        </is>
      </c>
      <c r="E37" t="inlineStr">
        <is>
          <t>verma@pratibhasyntex.com</t>
        </is>
      </c>
      <c r="F37" t="n">
        <v>820</v>
      </c>
      <c r="G37" t="inlineStr">
        <is>
          <t>apparel &amp; fashion</t>
        </is>
      </c>
      <c r="H37" t="inlineStr">
        <is>
          <t>http://www.linkedin.com/in/p-k-verma-97882a1</t>
        </is>
      </c>
      <c r="I37" t="inlineStr">
        <is>
          <t>https://pratibhasyntex.com</t>
        </is>
      </c>
      <c r="J37" t="inlineStr">
        <is>
          <t>Indore</t>
        </is>
      </c>
      <c r="K37" t="inlineStr">
        <is>
          <t>Madhya Pradesh</t>
        </is>
      </c>
      <c r="L37" t="inlineStr">
        <is>
          <t>India</t>
        </is>
      </c>
      <c r="M37" t="n">
        <v>98000000</v>
      </c>
      <c r="N37" s="2" t="n">
        <v>96</v>
      </c>
      <c r="O37" s="2" t="inlineStr">
        <is>
          <t>A - Hot</t>
        </is>
      </c>
      <c r="P37" t="inlineStr">
        <is>
          <t>Tier 1 - C-Suite/Founder</t>
        </is>
      </c>
      <c r="Q37" t="inlineStr">
        <is>
          <t>C-Suite/Founder / General management</t>
        </is>
      </c>
      <c r="R37" t="inlineStr"/>
      <c r="S37" s="3" t="inlineStr">
        <is>
          <t>Hi Verma, I work with apparel &amp; fashion leaders on recovering margin leakage and freeing working capital trapped in inventory — lightweight AI that plugs into the ERP you already run. Given your seat at Pratibha Syntex Ltd., thought it was worth connecting.</t>
        </is>
      </c>
      <c r="T37" s="3" t="inlineStr">
        <is>
          <t>Glad to be connected, Verma. Most apparel &amp; fashion teams we meet struggle with broken size sets and end-of-season markdowns. We fix exactly that with size-curve planning and season-buy optimization that reads straight from your ERP. Open to a 15-minute walkthrough?</t>
        </is>
      </c>
      <c r="U37" s="3" t="inlineStr">
        <is>
          <t>Verma, closing the loop so I'm not another unread ping. If it's useful, I can send a one-pager on size-curve planning and season-buy optimization that reads straight from your ERP for Pratibha Syntex Ltd. — zero meetings needed. Just say the word.</t>
        </is>
      </c>
      <c r="V37" t="inlineStr">
        <is>
          <t>Broken size sets at Pratibha Syntex Ltd.?</t>
        </is>
      </c>
      <c r="W37" s="3" t="inlineStr">
        <is>
          <t>Hi Verma,
As CFO at Pratibha Syntex Ltd.,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Pratibha Syntex Ltd.?
Best,
{{SENDER_NAME}}
{{SENDER_EMAIL}} | Book directly: {{CALENDLY_URL}}
P.S. If this isn't relevant, reply "no thanks" and I won't follow up again.</t>
        </is>
      </c>
      <c r="X37" t="inlineStr">
        <is>
          <t>How teams like Pratibha Syntex Ltd. start with AI on ERP</t>
        </is>
      </c>
      <c r="Y37" s="3" t="inlineStr">
        <is>
          <t>Hi Verma,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37" t="inlineStr">
        <is>
          <t>Last note — AI on ERP at Pratibha Syntex Ltd.</t>
        </is>
      </c>
      <c r="AA37" s="3" t="inlineStr">
        <is>
          <t>Hi Verma,
I'll close the loop here — inbox zero is sacred.
If broken size sets and end-of-season markdowns becomes a priority at Pratibha Syntex Ltd.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37" t="inlineStr">
        <is>
          <t>Draft</t>
        </is>
      </c>
      <c r="AC37" t="n">
        <v>0</v>
      </c>
      <c r="AD37" t="inlineStr"/>
      <c r="AE37" t="inlineStr"/>
      <c r="AF37" t="inlineStr"/>
    </row>
    <row r="38">
      <c r="A38" t="inlineStr">
        <is>
          <t>Parag</t>
        </is>
      </c>
      <c r="B38" t="inlineStr">
        <is>
          <t>Bhagwat</t>
        </is>
      </c>
      <c r="C38" t="inlineStr">
        <is>
          <t>Group Chief Digital Officer (CDO)</t>
        </is>
      </c>
      <c r="D38" t="inlineStr">
        <is>
          <t>Sanjay Ghodawat Group</t>
        </is>
      </c>
      <c r="E38" t="inlineStr">
        <is>
          <t>parag.b@ghodawat.com</t>
        </is>
      </c>
      <c r="F38" t="n">
        <v>410</v>
      </c>
      <c r="G38" t="inlineStr">
        <is>
          <t>food &amp; beverages</t>
        </is>
      </c>
      <c r="H38" t="inlineStr">
        <is>
          <t>http://www.linkedin.com/in/paragbhagwat</t>
        </is>
      </c>
      <c r="I38" t="inlineStr">
        <is>
          <t>https://ghodawat.com</t>
        </is>
      </c>
      <c r="J38" t="inlineStr">
        <is>
          <t>Bengaluru</t>
        </is>
      </c>
      <c r="K38" t="inlineStr">
        <is>
          <t>Karnataka</t>
        </is>
      </c>
      <c r="L38" t="inlineStr">
        <is>
          <t>India</t>
        </is>
      </c>
      <c r="M38" t="n">
        <v>97000000</v>
      </c>
      <c r="N38" s="2" t="n">
        <v>95</v>
      </c>
      <c r="O38" s="2" t="inlineStr">
        <is>
          <t>A - Hot</t>
        </is>
      </c>
      <c r="P38" t="inlineStr">
        <is>
          <t>Tier 1 - C-Suite/Founder</t>
        </is>
      </c>
      <c r="Q38" t="inlineStr">
        <is>
          <t>C-Suite/Founder / Ops/Tech/Finance/Commercial</t>
        </is>
      </c>
      <c r="R38" t="inlineStr"/>
      <c r="S38" s="3" t="inlineStr">
        <is>
          <t>Hi Parag, we help teams like Sanjay Ghodawat Group's tackle near-expiry write-offs and distributor claim reconciliation with AI add-ons to their existing ERP — no replatforming. Keen to connect and swap notes.</t>
        </is>
      </c>
      <c r="T38" s="3" t="inlineStr">
        <is>
          <t>Appreciate the connect, Parag. One idea for Sanjay Ghodawat Group: expiry-aware replenishment and wastage prediction wired into your ERP. It runs alongside your current ERP, so there's no migration risk — just one contained pilot. Happy to share how similar teams structure it.</t>
        </is>
      </c>
      <c r="U38" s="3" t="inlineStr">
        <is>
          <t>Parag, I'll leave this here rather than keep nudging — if near-expiry write-offs and distributor claim reconciliation ever climbs the priority list at Sanjay Ghodawat Group, a 15-minute call is all it takes to see if there's a fit. Either way, good luck this quarter.</t>
        </is>
      </c>
      <c r="V38" t="inlineStr">
        <is>
          <t>AI on top of Sanjay Ghodawat Group's ERP — one small use case</t>
        </is>
      </c>
      <c r="W38" s="3" t="inlineStr">
        <is>
          <t>Hi Parag,
As Group Chief Digital Officer (CDO) at Sanjay Ghodawat Group,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Sanjay Ghodawat Group?
Best,
{{SENDER_NAME}}
{{SENDER_EMAIL}} | Book directly: {{CALENDLY_URL}}
P.S. If this isn't relevant, reply "no thanks" and I won't follow up again.</t>
        </is>
      </c>
      <c r="X38" t="inlineStr">
        <is>
          <t>How teams like Sanjay Ghodawat Group start with AI on ERP</t>
        </is>
      </c>
      <c r="Y38" s="3" t="inlineStr">
        <is>
          <t>Hi Parag,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38" t="inlineStr">
        <is>
          <t>Last note — AI on ERP at Sanjay Ghodawat Group</t>
        </is>
      </c>
      <c r="AA38" s="3" t="inlineStr">
        <is>
          <t>Hi Parag,
I'll close the loop here — inbox zero is sacred.
If near-expiry write-offs and distributor claim reconciliation becomes a priority at Sanjay Ghodawat Group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38" t="inlineStr">
        <is>
          <t>Draft</t>
        </is>
      </c>
      <c r="AC38" t="n">
        <v>0</v>
      </c>
      <c r="AD38" t="inlineStr"/>
      <c r="AE38" t="inlineStr"/>
      <c r="AF38" t="inlineStr"/>
    </row>
    <row r="39">
      <c r="A39" t="inlineStr">
        <is>
          <t>Smarita</t>
        </is>
      </c>
      <c r="B39" t="inlineStr">
        <is>
          <t>Bharimal</t>
        </is>
      </c>
      <c r="C39" t="inlineStr">
        <is>
          <t>Executive Vice President &amp; COO</t>
        </is>
      </c>
      <c r="D39" t="inlineStr">
        <is>
          <t>Arvind Limited</t>
        </is>
      </c>
      <c r="E39" t="inlineStr">
        <is>
          <t>smarita.bharimal@arvind.in</t>
        </is>
      </c>
      <c r="F39" t="n">
        <v>25000</v>
      </c>
      <c r="G39" t="inlineStr">
        <is>
          <t>apparel &amp; fashion</t>
        </is>
      </c>
      <c r="H39" t="inlineStr">
        <is>
          <t>http://www.linkedin.com/in/smarita-bharimal-97009815a</t>
        </is>
      </c>
      <c r="I39" t="inlineStr">
        <is>
          <t>https://arvind.com</t>
        </is>
      </c>
      <c r="J39" t="inlineStr">
        <is>
          <t>Ahmedabad</t>
        </is>
      </c>
      <c r="K39" t="inlineStr">
        <is>
          <t>Gujarat</t>
        </is>
      </c>
      <c r="L39" t="inlineStr">
        <is>
          <t>India</t>
        </is>
      </c>
      <c r="M39" t="n">
        <v>984809000</v>
      </c>
      <c r="N39" s="2" t="n">
        <v>95</v>
      </c>
      <c r="O39" s="2" t="inlineStr">
        <is>
          <t>A - Hot</t>
        </is>
      </c>
      <c r="P39" t="inlineStr">
        <is>
          <t>Tier 1 - C-Suite/Founder</t>
        </is>
      </c>
      <c r="Q39" t="inlineStr">
        <is>
          <t>C-Suite/Founder / General management</t>
        </is>
      </c>
      <c r="R39" t="inlineStr"/>
      <c r="S39" s="3" t="inlineStr">
        <is>
          <t>Hi Smarita, we help teams like Arvind Limited's tackle broken size sets and end-of-season markdowns with AI add-ons to their existing ERP — no replatforming. Keen to connect and swap notes.</t>
        </is>
      </c>
      <c r="T39" s="3" t="inlineStr">
        <is>
          <t>Thanks for connecting, Smarita. Quick context: we ship size-curve planning and season-buy optimization that reads straight from your ERP. Teams typically start with one narrow use case and see results in weeks, not an ERP-project timeline. Worth a short look for Arvind Limited?</t>
        </is>
      </c>
      <c r="U39" s="3" t="inlineStr">
        <is>
          <t>Smarita, I'll leave this here rather than keep nudging — if broken size sets and end-of-season markdowns ever climbs the priority list at Arvind Limited, a 15-minute call is all it takes to see if there's a fit. Either way, good luck this quarter.</t>
        </is>
      </c>
      <c r="V39" t="inlineStr">
        <is>
          <t>Broken size sets at Arvind Limited?</t>
        </is>
      </c>
      <c r="W39" s="3" t="inlineStr">
        <is>
          <t>Hi Smarita,
As Executive Vice President &amp; COO at Arvind Limited,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Arvind Limited?
Best,
{{SENDER_NAME}}
{{SENDER_EMAIL}} | Book directly: {{CALENDLY_URL}}
P.S. If this isn't relevant, reply "no thanks" and I won't follow up again.</t>
        </is>
      </c>
      <c r="X39" t="inlineStr">
        <is>
          <t>Re: one small AI use case for Arvind Limited</t>
        </is>
      </c>
      <c r="Y39" s="3" t="inlineStr">
        <is>
          <t>Hi Smarita,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39" t="inlineStr">
        <is>
          <t>Last note — AI on ERP at Arvind Limited</t>
        </is>
      </c>
      <c r="AA39" s="3" t="inlineStr">
        <is>
          <t>Hi Smarita,
I'll close the loop here — inbox zero is sacred.
If broken size sets and end-of-season markdowns becomes a priority at Arvind Limited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39" t="inlineStr">
        <is>
          <t>Draft</t>
        </is>
      </c>
      <c r="AC39" t="n">
        <v>0</v>
      </c>
      <c r="AD39" t="inlineStr"/>
      <c r="AE39" t="inlineStr"/>
      <c r="AF39" t="inlineStr"/>
    </row>
    <row r="40">
      <c r="A40" t="inlineStr">
        <is>
          <t>Vishal</t>
        </is>
      </c>
      <c r="B40" t="inlineStr">
        <is>
          <t>Singh</t>
        </is>
      </c>
      <c r="C40" t="inlineStr">
        <is>
          <t>Senior CEO</t>
        </is>
      </c>
      <c r="D40" t="inlineStr">
        <is>
          <t>EATCLUB Brands</t>
        </is>
      </c>
      <c r="E40" t="inlineStr">
        <is>
          <t>vishal.singh@box8.in</t>
        </is>
      </c>
      <c r="F40" t="n">
        <v>480</v>
      </c>
      <c r="G40" t="inlineStr">
        <is>
          <t>food &amp; beverages</t>
        </is>
      </c>
      <c r="H40" t="inlineStr">
        <is>
          <t>http://www.linkedin.com/in/vishal-singh-b7840a130</t>
        </is>
      </c>
      <c r="I40" t="inlineStr">
        <is>
          <t>https://eatclub.in</t>
        </is>
      </c>
      <c r="J40" t="inlineStr">
        <is>
          <t>Mumbai</t>
        </is>
      </c>
      <c r="K40" t="inlineStr">
        <is>
          <t>Maharashtra</t>
        </is>
      </c>
      <c r="L40" t="inlineStr">
        <is>
          <t>India</t>
        </is>
      </c>
      <c r="M40" t="n">
        <v>595000000</v>
      </c>
      <c r="N40" s="2" t="n">
        <v>95</v>
      </c>
      <c r="O40" s="2" t="inlineStr">
        <is>
          <t>A - Hot</t>
        </is>
      </c>
      <c r="P40" t="inlineStr">
        <is>
          <t>Tier 1 - C-Suite/Founder</t>
        </is>
      </c>
      <c r="Q40" t="inlineStr">
        <is>
          <t>C-Suite/Founder / General management</t>
        </is>
      </c>
      <c r="R40" t="inlineStr"/>
      <c r="S40" s="3" t="inlineStr">
        <is>
          <t>Hi Vishal, your work as Senior CEO at EATCLUB Brands caught my eye. We build small AI use cases that sit on top of existing ERPs — think measurable margin and working-capital gains within a quarter. Would be glad to connect.</t>
        </is>
      </c>
      <c r="T40" s="3" t="inlineStr">
        <is>
          <t>Appreciate the connect, Vishal. One idea for EATCLUB Brands: expiry-aware replenishment and wastage prediction wired into your ERP. It runs alongside your current ERP, so there's no migration risk — just one contained pilot. Happy to share how similar teams structure it.</t>
        </is>
      </c>
      <c r="U40" s="3" t="inlineStr">
        <is>
          <t>Vishal, closing the loop so I'm not another unread ping. If it's useful, I can send a one-pager on expiry-aware replenishment and wastage prediction wired into your ERP for EATCLUB Brands — zero meetings needed. Just say the word.</t>
        </is>
      </c>
      <c r="V40" t="inlineStr">
        <is>
          <t>AI on top of EATCLUB Brands's ERP — one small use case</t>
        </is>
      </c>
      <c r="W40" s="3" t="inlineStr">
        <is>
          <t>Hi Vishal,
As Senior CEO at EATCLUB Brands,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EATCLUB Brands?
Best,
{{SENDER_NAME}}
{{SENDER_EMAIL}} | Book directly: {{CALENDLY_URL}}
P.S. If this isn't relevant, reply "no thanks" and I won't follow up again.</t>
        </is>
      </c>
      <c r="X40" t="inlineStr">
        <is>
          <t>How teams like EATCLUB Brands start with AI on ERP</t>
        </is>
      </c>
      <c r="Y40" s="3" t="inlineStr">
        <is>
          <t>Hi Vishal,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40" t="inlineStr">
        <is>
          <t>Closing the loop, Vishal</t>
        </is>
      </c>
      <c r="AA40" s="3" t="inlineStr">
        <is>
          <t>Hi Vishal,
I'll close the loop here — inbox zero is sacred.
If near-expiry write-offs and distributor claim reconciliation becomes a priority at EATCLUB Brands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40" t="inlineStr">
        <is>
          <t>Draft</t>
        </is>
      </c>
      <c r="AC40" t="n">
        <v>0</v>
      </c>
      <c r="AD40" t="inlineStr"/>
      <c r="AE40" t="inlineStr"/>
      <c r="AF40" t="inlineStr"/>
    </row>
    <row r="41">
      <c r="A41" t="inlineStr">
        <is>
          <t>Ujjwal</t>
        </is>
      </c>
      <c r="B41" t="inlineStr">
        <is>
          <t>Somani</t>
        </is>
      </c>
      <c r="C41" t="inlineStr">
        <is>
          <t>Founder</t>
        </is>
      </c>
      <c r="D41" t="inlineStr">
        <is>
          <t>Gokul Refoils &amp; Solvents Ltd</t>
        </is>
      </c>
      <c r="E41" t="inlineStr">
        <is>
          <t>ujjwal.somani@gokulgroup.com</t>
        </is>
      </c>
      <c r="F41" t="n">
        <v>430</v>
      </c>
      <c r="G41" t="inlineStr">
        <is>
          <t>food &amp; beverages</t>
        </is>
      </c>
      <c r="H41" t="inlineStr">
        <is>
          <t>http://www.linkedin.com/in/ujjwal-somani-aa95321ab</t>
        </is>
      </c>
      <c r="I41" t="inlineStr">
        <is>
          <t>https://gokulgroup.com</t>
        </is>
      </c>
      <c r="J41" t="inlineStr"/>
      <c r="K41" t="inlineStr"/>
      <c r="L41" t="inlineStr">
        <is>
          <t>India</t>
        </is>
      </c>
      <c r="M41" t="n">
        <v>364567000</v>
      </c>
      <c r="N41" s="2" t="n">
        <v>95</v>
      </c>
      <c r="O41" s="2" t="inlineStr">
        <is>
          <t>A - Hot</t>
        </is>
      </c>
      <c r="P41" t="inlineStr">
        <is>
          <t>Tier 1 - C-Suite/Founder</t>
        </is>
      </c>
      <c r="Q41" t="inlineStr">
        <is>
          <t>C-Suite/Founder / General management</t>
        </is>
      </c>
      <c r="R41" t="inlineStr"/>
      <c r="S41" s="3" t="inlineStr">
        <is>
          <t>Hi Ujjwal, I work with food &amp; beverages leaders on measurable margin and working-capital gains within a quarter — lightweight AI that plugs into the ERP you already run. Given your seat at Gokul Refoils &amp; Solvents Ltd, thought it was worth connecting.</t>
        </is>
      </c>
      <c r="T41" s="3" t="inlineStr">
        <is>
          <t>Appreciate the connect, Ujjwal. One idea for Gokul Refoils &amp; Solvents Ltd: expiry-aware replenishment and wastage prediction wired into your ERP. It runs alongside your current ERP, so there's no migration risk — just one contained pilot. Happy to share how similar teams structure it.</t>
        </is>
      </c>
      <c r="U41" s="3" t="inlineStr">
        <is>
          <t>Last note from me, Ujjwal — timing is everything with these projects. If an AI-on-ERP pilot becomes relevant at Gokul Refoils &amp; Solvents Ltd later, my line's open. Wishing you a strong quarter.</t>
        </is>
      </c>
      <c r="V41" t="inlineStr">
        <is>
          <t>Ujjwal, a faster fix for near-expiry write-offs</t>
        </is>
      </c>
      <c r="W41" s="3" t="inlineStr">
        <is>
          <t>Hi Ujjwal,
As Founder at Gokul Refoils &amp; Solvents Ltd,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Gokul Refoils &amp; Solvents Ltd?
Best,
{{SENDER_NAME}}
{{SENDER_EMAIL}} | Book directly: {{CALENDLY_URL}}
P.S. If this isn't relevant, reply "no thanks" and I won't follow up again.</t>
        </is>
      </c>
      <c r="X41" t="inlineStr">
        <is>
          <t>Ujjwal — the 3-week pilot version</t>
        </is>
      </c>
      <c r="Y41" s="3" t="inlineStr">
        <is>
          <t>Hi Ujjwal,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41" t="inlineStr">
        <is>
          <t>Last note — AI on ERP at Gokul Refoils &amp; Solvents Ltd</t>
        </is>
      </c>
      <c r="AA41" s="3" t="inlineStr">
        <is>
          <t>Hi Ujjwal,
I'll close the loop here — inbox zero is sacred.
If near-expiry write-offs and distributor claim reconciliation becomes a priority at Gokul Refoils &amp; Solvents Ltd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41" t="inlineStr">
        <is>
          <t>Draft</t>
        </is>
      </c>
      <c r="AC41" t="n">
        <v>0</v>
      </c>
      <c r="AD41" t="inlineStr"/>
      <c r="AE41" t="inlineStr"/>
      <c r="AF41" t="inlineStr"/>
    </row>
    <row r="42">
      <c r="A42" t="inlineStr">
        <is>
          <t>Harish</t>
        </is>
      </c>
      <c r="B42" t="inlineStr">
        <is>
          <t>Shetty</t>
        </is>
      </c>
      <c r="C42" t="inlineStr">
        <is>
          <t>Vice President Supply Chain</t>
        </is>
      </c>
      <c r="D42" t="inlineStr">
        <is>
          <t>Reliance Retail</t>
        </is>
      </c>
      <c r="E42" t="inlineStr">
        <is>
          <t>harish.shetty@ril.com</t>
        </is>
      </c>
      <c r="F42" t="n">
        <v>246000</v>
      </c>
      <c r="G42" t="inlineStr">
        <is>
          <t>retail</t>
        </is>
      </c>
      <c r="H42" t="inlineStr">
        <is>
          <t>http://www.linkedin.com/in/harish-shetty-0139485</t>
        </is>
      </c>
      <c r="I42" t="inlineStr">
        <is>
          <t>https://relianceretail.com</t>
        </is>
      </c>
      <c r="J42" t="inlineStr">
        <is>
          <t>Mumbai</t>
        </is>
      </c>
      <c r="K42" t="inlineStr">
        <is>
          <t>Maharashtra</t>
        </is>
      </c>
      <c r="L42" t="inlineStr">
        <is>
          <t>India</t>
        </is>
      </c>
      <c r="M42" t="n">
        <v>3864000000</v>
      </c>
      <c r="N42" s="2" t="n">
        <v>94</v>
      </c>
      <c r="O42" s="2" t="inlineStr">
        <is>
          <t>A - Hot</t>
        </is>
      </c>
      <c r="P42" t="inlineStr">
        <is>
          <t>Tier 1 - C-Suite/Founder</t>
        </is>
      </c>
      <c r="Q42" t="inlineStr">
        <is>
          <t>C-Suite/Founder / Ops/Tech/Finance/Commercial</t>
        </is>
      </c>
      <c r="R42" t="inlineStr"/>
      <c r="S42" s="3" t="inlineStr">
        <is>
          <t>Hi Harish, I work with retail leaders on fewer stockouts and far less manual reconciliation — lightweight AI that plugs into the ERP you already run. Given your seat at Reliance Retail, thought it was worth connecting.</t>
        </is>
      </c>
      <c r="T42" s="3" t="inlineStr">
        <is>
          <t>Glad to be connected, Harish. Most retail teams we meet struggle with stockouts and excess inventory that the ERP reports only after the fact. We fix exactly that with SKU-level demand forecasting and auto-replenishment on top of your ERP. Open to a 15-minute walkthrough?</t>
        </is>
      </c>
      <c r="U42" s="3" t="inlineStr">
        <is>
          <t>Harish, I'll leave this here rather than keep nudging — if stockouts and excess inventory that the ERP reports only after the fact ever climbs the priority list at Reliance Retail, a 15-minute call is all it takes to see if there's a fit. Either way, good luck this quarter.</t>
        </is>
      </c>
      <c r="V42" t="inlineStr">
        <is>
          <t>AI on top of Reliance Retail's ERP — one small use case</t>
        </is>
      </c>
      <c r="W42" s="3" t="inlineStr">
        <is>
          <t>Hi Harish,
As Vice President Supply Chain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Reliance Retail?
Best,
{{SENDER_NAME}}
{{SENDER_EMAIL}} | Book directly: {{CALENDLY_URL}}
P.S. If this isn't relevant, reply "no thanks" and I won't follow up again.</t>
        </is>
      </c>
      <c r="X42" t="inlineStr">
        <is>
          <t>How teams like Reliance Retail start with AI on ERP</t>
        </is>
      </c>
      <c r="Y42" s="3" t="inlineStr">
        <is>
          <t>Hi Harish,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2" t="inlineStr">
        <is>
          <t>Last note — AI on ERP at Reliance Retail</t>
        </is>
      </c>
      <c r="AA42" s="3" t="inlineStr">
        <is>
          <t>Hi Harish,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2" t="inlineStr">
        <is>
          <t>Draft</t>
        </is>
      </c>
      <c r="AC42" t="n">
        <v>0</v>
      </c>
      <c r="AD42" t="inlineStr"/>
      <c r="AE42" t="inlineStr"/>
      <c r="AF42" t="inlineStr"/>
    </row>
    <row r="43">
      <c r="A43" t="inlineStr">
        <is>
          <t>Vikas</t>
        </is>
      </c>
      <c r="B43" t="inlineStr">
        <is>
          <t>Khandelwal</t>
        </is>
      </c>
      <c r="C43" t="inlineStr">
        <is>
          <t>Chief Financial Officer</t>
        </is>
      </c>
      <c r="D43" t="inlineStr">
        <is>
          <t>Reliance Retail</t>
        </is>
      </c>
      <c r="E43" t="inlineStr">
        <is>
          <t>vikas.khandelwal@ril.com</t>
        </is>
      </c>
      <c r="F43" t="n">
        <v>246000</v>
      </c>
      <c r="G43" t="inlineStr">
        <is>
          <t>retail</t>
        </is>
      </c>
      <c r="H43" t="inlineStr">
        <is>
          <t>http://www.linkedin.com/in/vikas-khandelwal-b5916142</t>
        </is>
      </c>
      <c r="I43" t="inlineStr">
        <is>
          <t>https://relianceretail.com</t>
        </is>
      </c>
      <c r="J43" t="inlineStr">
        <is>
          <t>New Delhi</t>
        </is>
      </c>
      <c r="K43" t="inlineStr">
        <is>
          <t>Delhi</t>
        </is>
      </c>
      <c r="L43" t="inlineStr">
        <is>
          <t>India</t>
        </is>
      </c>
      <c r="M43" t="n">
        <v>3864000000</v>
      </c>
      <c r="N43" s="2" t="n">
        <v>94</v>
      </c>
      <c r="O43" s="2" t="inlineStr">
        <is>
          <t>A - Hot</t>
        </is>
      </c>
      <c r="P43" t="inlineStr">
        <is>
          <t>Tier 1 - C-Suite/Founder</t>
        </is>
      </c>
      <c r="Q43" t="inlineStr">
        <is>
          <t>C-Suite/Founder / Ops/Tech/Finance/Commercial</t>
        </is>
      </c>
      <c r="R43" t="inlineStr"/>
      <c r="S43" s="3" t="inlineStr">
        <is>
          <t>Hi Vikas, I work with retail leaders on recovering margin leakage and freeing working capital trapped in inventory — lightweight AI that plugs into the ERP you already run. Given your seat at Reliance Retail, thought it was worth connecting.</t>
        </is>
      </c>
      <c r="T43" s="3" t="inlineStr">
        <is>
          <t>Thanks for connecting, Vikas. Quick context: we ship SKU-level demand forecasting and auto-replenishment on top of your ERP. Teams typically start with one narrow use case and see results in weeks, not an ERP-project timeline. Worth a short look for Reliance Retail?</t>
        </is>
      </c>
      <c r="U43" s="3" t="inlineStr">
        <is>
          <t>Vikas, I'll leave this here rather than keep nudging — if stockouts and excess inventory that the ERP reports only after the fact ever climbs the priority list at Reliance Retail, a 15-minute call is all it takes to see if there's a fit. Either way, good luck this quarter.</t>
        </is>
      </c>
      <c r="V43" t="inlineStr">
        <is>
          <t>AI on top of Reliance Retail's ERP — one small use case</t>
        </is>
      </c>
      <c r="W43" s="3" t="inlineStr">
        <is>
          <t>Hi Vikas,
As Chief Financial Officer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Reliance Retail?
Best,
{{SENDER_NAME}}
{{SENDER_EMAIL}} | Book directly: {{CALENDLY_URL}}
P.S. If this isn't relevant, reply "no thanks" and I won't follow up again.</t>
        </is>
      </c>
      <c r="X43" t="inlineStr">
        <is>
          <t>How teams like Reliance Retail start with AI on ERP</t>
        </is>
      </c>
      <c r="Y43" s="3" t="inlineStr">
        <is>
          <t>Hi Vikas,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3" t="inlineStr">
        <is>
          <t>Should I stay or should I go, Vikas?</t>
        </is>
      </c>
      <c r="AA43" s="3" t="inlineStr">
        <is>
          <t>Hi Vikas,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3" t="inlineStr">
        <is>
          <t>Draft</t>
        </is>
      </c>
      <c r="AC43" t="n">
        <v>0</v>
      </c>
      <c r="AD43" t="inlineStr"/>
      <c r="AE43" t="inlineStr"/>
      <c r="AF43" t="inlineStr"/>
    </row>
    <row r="44">
      <c r="A44" t="inlineStr">
        <is>
          <t>Keyur</t>
        </is>
      </c>
      <c r="B44" t="inlineStr">
        <is>
          <t>Kotecha</t>
        </is>
      </c>
      <c r="C44" t="inlineStr">
        <is>
          <t>Assistant Vice President- Supply Chain Management</t>
        </is>
      </c>
      <c r="D44" t="inlineStr">
        <is>
          <t>Reliance Retail</t>
        </is>
      </c>
      <c r="E44" t="inlineStr">
        <is>
          <t>keyur.kotecha@ril.com</t>
        </is>
      </c>
      <c r="F44" t="n">
        <v>246000</v>
      </c>
      <c r="G44" t="inlineStr">
        <is>
          <t>retail</t>
        </is>
      </c>
      <c r="H44" t="inlineStr">
        <is>
          <t>http://www.linkedin.com/in/keyur-kotecha-38522514</t>
        </is>
      </c>
      <c r="I44" t="inlineStr">
        <is>
          <t>https://relianceretail.com</t>
        </is>
      </c>
      <c r="J44" t="inlineStr">
        <is>
          <t>Mumbai</t>
        </is>
      </c>
      <c r="K44" t="inlineStr">
        <is>
          <t>Maharashtra</t>
        </is>
      </c>
      <c r="L44" t="inlineStr">
        <is>
          <t>India</t>
        </is>
      </c>
      <c r="M44" t="n">
        <v>3864000000</v>
      </c>
      <c r="N44" s="2" t="n">
        <v>94</v>
      </c>
      <c r="O44" s="2" t="inlineStr">
        <is>
          <t>A - Hot</t>
        </is>
      </c>
      <c r="P44" t="inlineStr">
        <is>
          <t>Tier 1 - C-Suite/Founder</t>
        </is>
      </c>
      <c r="Q44" t="inlineStr">
        <is>
          <t>C-Suite/Founder / Ops/Tech/Finance/Commercial</t>
        </is>
      </c>
      <c r="R44" t="inlineStr"/>
      <c r="S44" s="3" t="inlineStr">
        <is>
          <t>Hi Keyur, we help teams like Reliance Retail's tackle stockouts and excess inventory that the ERP reports only after the fact with AI add-ons to their existing ERP — no replatforming. Keen to connect and swap notes.</t>
        </is>
      </c>
      <c r="T44" s="3" t="inlineStr">
        <is>
          <t>Thanks for connecting, Keyur. Quick context: we ship SKU-level demand forecasting and auto-replenishment on top of your ERP. Teams typically start with one narrow use case and see results in weeks, not an ERP-project timeline. Worth a short look for Reliance Retail?</t>
        </is>
      </c>
      <c r="U44" s="3" t="inlineStr">
        <is>
          <t>Keyur, closing the loop so I'm not another unread ping. If it's useful, I can send a one-pager on SKU-level demand forecasting and auto-replenishment on top of your ERP for Reliance Retail — zero meetings needed. Just say the word.</t>
        </is>
      </c>
      <c r="V44" t="inlineStr">
        <is>
          <t>Keyur, a faster fix for stockouts</t>
        </is>
      </c>
      <c r="W44" s="3" t="inlineStr">
        <is>
          <t>Hi Keyur,
As Assistant Vice President- Supply Chain Management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Reliance Retail?
Best,
{{SENDER_NAME}}
{{SENDER_EMAIL}} | Book directly: {{CALENDLY_URL}}
P.S. If this isn't relevant, reply "no thanks" and I won't follow up again.</t>
        </is>
      </c>
      <c r="X44" t="inlineStr">
        <is>
          <t>Re: one small AI use case for Reliance Retail</t>
        </is>
      </c>
      <c r="Y44" s="3" t="inlineStr">
        <is>
          <t>Hi Keyur,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4" t="inlineStr">
        <is>
          <t>Should I stay or should I go, Keyur?</t>
        </is>
      </c>
      <c r="AA44" s="3" t="inlineStr">
        <is>
          <t>Hi Keyur,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4" t="inlineStr">
        <is>
          <t>Draft</t>
        </is>
      </c>
      <c r="AC44" t="n">
        <v>0</v>
      </c>
      <c r="AD44" t="inlineStr"/>
      <c r="AE44" t="inlineStr"/>
      <c r="AF44" t="inlineStr"/>
    </row>
    <row r="45">
      <c r="A45" t="inlineStr">
        <is>
          <t>Jayendra</t>
        </is>
      </c>
      <c r="B45" t="inlineStr">
        <is>
          <t>Sadaye</t>
        </is>
      </c>
      <c r="C45" t="inlineStr">
        <is>
          <t>Vice President Information Technology</t>
        </is>
      </c>
      <c r="D45" t="inlineStr">
        <is>
          <t>Reliance Retail</t>
        </is>
      </c>
      <c r="E45" t="inlineStr">
        <is>
          <t>jayendra.sadaye@ril.com</t>
        </is>
      </c>
      <c r="F45" t="n">
        <v>246000</v>
      </c>
      <c r="G45" t="inlineStr">
        <is>
          <t>retail</t>
        </is>
      </c>
      <c r="H45" t="inlineStr">
        <is>
          <t>http://www.linkedin.com/in/jayendra-sadaye</t>
        </is>
      </c>
      <c r="I45" t="inlineStr">
        <is>
          <t>https://relianceretail.com</t>
        </is>
      </c>
      <c r="J45" t="inlineStr">
        <is>
          <t>Mumbai</t>
        </is>
      </c>
      <c r="K45" t="inlineStr">
        <is>
          <t>Maharashtra</t>
        </is>
      </c>
      <c r="L45" t="inlineStr">
        <is>
          <t>India</t>
        </is>
      </c>
      <c r="M45" t="n">
        <v>3864000000</v>
      </c>
      <c r="N45" s="2" t="n">
        <v>94</v>
      </c>
      <c r="O45" s="2" t="inlineStr">
        <is>
          <t>A - Hot</t>
        </is>
      </c>
      <c r="P45" t="inlineStr">
        <is>
          <t>Tier 1 - C-Suite/Founder</t>
        </is>
      </c>
      <c r="Q45" t="inlineStr">
        <is>
          <t>C-Suite/Founder / Ops/Tech/Finance/Commercial</t>
        </is>
      </c>
      <c r="R45" t="inlineStr"/>
      <c r="S45" s="3" t="inlineStr">
        <is>
          <t>Hi Jayendra, we help teams like Reliance Retail's tackle stockouts and excess inventory that the ERP reports only after the fact with AI add-ons to their existing ERP — no replatforming. Keen to connect and swap notes.</t>
        </is>
      </c>
      <c r="T45" s="3" t="inlineStr">
        <is>
          <t>Glad to be connected, Jayendra. Most retail teams we meet struggle with stockouts and excess inventory that the ERP reports only after the fact. We fix exactly that with SKU-level demand forecasting and auto-replenishment on top of your ERP. Open to a 15-minute walkthrough?</t>
        </is>
      </c>
      <c r="U45" s="3" t="inlineStr">
        <is>
          <t>Last note from me, Jayendra — timing is everything with these projects. If an AI-on-ERP pilot becomes relevant at Reliance Retail later, my line's open. Wishing you a strong quarter.</t>
        </is>
      </c>
      <c r="V45" t="inlineStr">
        <is>
          <t>AI on top of Reliance Retail's ERP — one small use case</t>
        </is>
      </c>
      <c r="W45" s="3" t="inlineStr">
        <is>
          <t>Hi Jayendra,
As Vice President Information Technology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Reliance Retail?
Best,
{{SENDER_NAME}}
{{SENDER_EMAIL}} | Book directly: {{CALENDLY_URL}}
P.S. If this isn't relevant, reply "no thanks" and I won't follow up again.</t>
        </is>
      </c>
      <c r="X45" t="inlineStr">
        <is>
          <t>Re: one small AI use case for Reliance Retail</t>
        </is>
      </c>
      <c r="Y45" s="3" t="inlineStr">
        <is>
          <t>Hi Jayendra,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5" t="inlineStr">
        <is>
          <t>Should I stay or should I go, Jayendra?</t>
        </is>
      </c>
      <c r="AA45" s="3" t="inlineStr">
        <is>
          <t>Hi Jayendra,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5" t="inlineStr">
        <is>
          <t>Draft</t>
        </is>
      </c>
      <c r="AC45" t="n">
        <v>0</v>
      </c>
      <c r="AD45" t="inlineStr"/>
      <c r="AE45" t="inlineStr"/>
      <c r="AF45" t="inlineStr"/>
    </row>
    <row r="46">
      <c r="A46" t="inlineStr">
        <is>
          <t>Devina</t>
        </is>
      </c>
      <c r="B46" t="inlineStr">
        <is>
          <t>Pandya</t>
        </is>
      </c>
      <c r="C46" t="inlineStr">
        <is>
          <t>Assistant Vice President Business Operations</t>
        </is>
      </c>
      <c r="D46" t="inlineStr">
        <is>
          <t>Reliance Retail</t>
        </is>
      </c>
      <c r="E46" t="inlineStr">
        <is>
          <t>devina.pandya@ril.com</t>
        </is>
      </c>
      <c r="F46" t="n">
        <v>246000</v>
      </c>
      <c r="G46" t="inlineStr">
        <is>
          <t>retail</t>
        </is>
      </c>
      <c r="H46" t="inlineStr">
        <is>
          <t>http://www.linkedin.com/in/devina-pandya-5811851</t>
        </is>
      </c>
      <c r="I46" t="inlineStr">
        <is>
          <t>https://relianceretail.com</t>
        </is>
      </c>
      <c r="J46" t="inlineStr">
        <is>
          <t>Mumbai</t>
        </is>
      </c>
      <c r="K46" t="inlineStr">
        <is>
          <t>Maharashtra</t>
        </is>
      </c>
      <c r="L46" t="inlineStr">
        <is>
          <t>India</t>
        </is>
      </c>
      <c r="M46" t="n">
        <v>3864000000</v>
      </c>
      <c r="N46" s="2" t="n">
        <v>94</v>
      </c>
      <c r="O46" s="2" t="inlineStr">
        <is>
          <t>A - Hot</t>
        </is>
      </c>
      <c r="P46" t="inlineStr">
        <is>
          <t>Tier 1 - C-Suite/Founder</t>
        </is>
      </c>
      <c r="Q46" t="inlineStr">
        <is>
          <t>C-Suite/Founder / Ops/Tech/Finance/Commercial</t>
        </is>
      </c>
      <c r="R46" t="inlineStr"/>
      <c r="S46" s="3" t="inlineStr">
        <is>
          <t>Hi Devina, we help teams like Reliance Retail's tackle stockouts and excess inventory that the ERP reports only after the fact with AI add-ons to their existing ERP — no replatforming. Keen to connect and swap notes.</t>
        </is>
      </c>
      <c r="T46" s="3" t="inlineStr">
        <is>
          <t>Thanks for connecting, Devina. Quick context: we ship SKU-level demand forecasting and auto-replenishment on top of your ERP. Teams typically start with one narrow use case and see results in weeks, not an ERP-project timeline. Worth a short look for Reliance Retail?</t>
        </is>
      </c>
      <c r="U46" s="3" t="inlineStr">
        <is>
          <t>Devina, closing the loop so I'm not another unread ping. If it's useful, I can send a one-pager on SKU-level demand forecasting and auto-replenishment on top of your ERP for Reliance Retail — zero meetings needed. Just say the word.</t>
        </is>
      </c>
      <c r="V46" t="inlineStr">
        <is>
          <t>AI on top of Reliance Retail's ERP — one small use case</t>
        </is>
      </c>
      <c r="W46" s="3" t="inlineStr">
        <is>
          <t>Hi Devina,
As Assistant Vice President Business Operations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Reliance Retail?
Best,
{{SENDER_NAME}}
{{SENDER_EMAIL}} | Book directly: {{CALENDLY_URL}}
P.S. If this isn't relevant, reply "no thanks" and I won't follow up again.</t>
        </is>
      </c>
      <c r="X46" t="inlineStr">
        <is>
          <t>How teams like Reliance Retail start with AI on ERP</t>
        </is>
      </c>
      <c r="Y46" s="3" t="inlineStr">
        <is>
          <t>Hi Devina,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6" t="inlineStr">
        <is>
          <t>Last note — AI on ERP at Reliance Retail</t>
        </is>
      </c>
      <c r="AA46" s="3" t="inlineStr">
        <is>
          <t>Hi Devina,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6" t="inlineStr">
        <is>
          <t>Draft</t>
        </is>
      </c>
      <c r="AC46" t="n">
        <v>0</v>
      </c>
      <c r="AD46" t="inlineStr"/>
      <c r="AE46" t="inlineStr"/>
      <c r="AF46" t="inlineStr"/>
    </row>
    <row r="47">
      <c r="A47" t="inlineStr">
        <is>
          <t>Rashmi</t>
        </is>
      </c>
      <c r="B47" t="inlineStr">
        <is>
          <t>Rai</t>
        </is>
      </c>
      <c r="C47" t="inlineStr">
        <is>
          <t>Product Owner</t>
        </is>
      </c>
      <c r="D47" t="inlineStr">
        <is>
          <t>Advance Auto Parts India (India Innovation Center)</t>
        </is>
      </c>
      <c r="E47" t="inlineStr">
        <is>
          <t>rashmi.rai@advance-auto.com</t>
        </is>
      </c>
      <c r="F47" t="n">
        <v>34000</v>
      </c>
      <c r="G47" t="inlineStr">
        <is>
          <t>retail</t>
        </is>
      </c>
      <c r="H47" t="inlineStr">
        <is>
          <t>http://www.linkedin.com/in/rashmi-rai-45405b50</t>
        </is>
      </c>
      <c r="I47" t="inlineStr">
        <is>
          <t>http://www.advanceautoparts.com</t>
        </is>
      </c>
      <c r="J47" t="inlineStr">
        <is>
          <t>Hyderabad</t>
        </is>
      </c>
      <c r="K47" t="inlineStr">
        <is>
          <t>Telangana</t>
        </is>
      </c>
      <c r="L47" t="inlineStr">
        <is>
          <t>India</t>
        </is>
      </c>
      <c r="M47" t="n">
        <v>8737016000</v>
      </c>
      <c r="N47" s="2" t="n">
        <v>94</v>
      </c>
      <c r="O47" s="2" t="inlineStr">
        <is>
          <t>A - Hot</t>
        </is>
      </c>
      <c r="P47" t="inlineStr">
        <is>
          <t>Tier 1 - C-Suite/Founder</t>
        </is>
      </c>
      <c r="Q47" t="inlineStr">
        <is>
          <t>C-Suite/Founder / General management</t>
        </is>
      </c>
      <c r="R47" t="inlineStr"/>
      <c r="S47" s="3" t="inlineStr">
        <is>
          <t>Hi Rashmi, I work with retail leaders on measurable margin and working-capital gains within a quarter — lightweight AI that plugs into the ERP you already run. Given your seat at Advance Auto Parts India (India Innovation Center), thought it was worth connecting.</t>
        </is>
      </c>
      <c r="T47" s="3" t="inlineStr">
        <is>
          <t>Thanks for connecting, Rashmi. Quick context: we ship SKU-level demand forecasting and auto-replenishment on top of your ERP. Teams typically start with one narrow use case and see results in weeks, not an ERP-project timeline. Worth a short look for Advance Auto Parts India (India Innovation Center)?</t>
        </is>
      </c>
      <c r="U47" s="3" t="inlineStr">
        <is>
          <t>Rashmi, I'll leave this here rather than keep nudging — if stockouts and excess inventory that the ERP reports only after the fact ever climbs the priority list at Advance Auto Parts India (India Innovation Center), a 15-minute call is all it takes to see if there's a fit. Either way, good luck this quarter.</t>
        </is>
      </c>
      <c r="V47" t="inlineStr">
        <is>
          <t>Stockouts at Advance Auto Parts India (India Innovation Center)?</t>
        </is>
      </c>
      <c r="W47" s="3" t="inlineStr">
        <is>
          <t>Hi Rashmi,
As Product Owner at Advance Auto Parts India (India Innovation Center),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Advance Auto Parts India (India Innovation Center)?
Best,
{{SENDER_NAME}}
{{SENDER_EMAIL}} | Book directly: {{CALENDLY_URL}}
P.S. If this isn't relevant, reply "no thanks" and I won't follow up again.</t>
        </is>
      </c>
      <c r="X47" t="inlineStr">
        <is>
          <t>Rashmi — the 3-week pilot version</t>
        </is>
      </c>
      <c r="Y47" s="3" t="inlineStr">
        <is>
          <t>Hi Rashmi,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7" t="inlineStr">
        <is>
          <t>Last note — AI on ERP at Advance Auto Parts India (India Innovation Center)</t>
        </is>
      </c>
      <c r="AA47" s="3" t="inlineStr">
        <is>
          <t>Hi Rashmi,
I'll close the loop here — inbox zero is sacred.
If stockouts and excess inventory that the ERP reports only after the fact becomes a priority at Advance Auto Parts India (India Innovation Center)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7" t="inlineStr">
        <is>
          <t>Draft</t>
        </is>
      </c>
      <c r="AC47" t="n">
        <v>0</v>
      </c>
      <c r="AD47" t="inlineStr"/>
      <c r="AE47" t="inlineStr"/>
      <c r="AF47" t="inlineStr"/>
    </row>
    <row r="48">
      <c r="A48" t="inlineStr">
        <is>
          <t>Rajneesh</t>
        </is>
      </c>
      <c r="B48" t="inlineStr">
        <is>
          <t>Mahajan</t>
        </is>
      </c>
      <c r="C48" t="inlineStr">
        <is>
          <t>CEO</t>
        </is>
      </c>
      <c r="D48" t="inlineStr">
        <is>
          <t>Inorbit Malls (India) Pvt. Ltd.</t>
        </is>
      </c>
      <c r="E48" t="inlineStr">
        <is>
          <t>rajneesh.mahajan@inorbit.in</t>
        </is>
      </c>
      <c r="F48" t="n">
        <v>480</v>
      </c>
      <c r="G48" t="inlineStr">
        <is>
          <t>retail</t>
        </is>
      </c>
      <c r="H48" t="inlineStr">
        <is>
          <t>http://www.linkedin.com/in/rajneesh-mahajan-7338819</t>
        </is>
      </c>
      <c r="I48" t="inlineStr">
        <is>
          <t>https://inorbit.in</t>
        </is>
      </c>
      <c r="J48" t="inlineStr">
        <is>
          <t>Mumbai</t>
        </is>
      </c>
      <c r="K48" t="inlineStr">
        <is>
          <t>Maharashtra</t>
        </is>
      </c>
      <c r="L48" t="inlineStr">
        <is>
          <t>India</t>
        </is>
      </c>
      <c r="M48" t="n">
        <v>557670220000</v>
      </c>
      <c r="N48" s="2" t="n">
        <v>94</v>
      </c>
      <c r="O48" s="2" t="inlineStr">
        <is>
          <t>A - Hot</t>
        </is>
      </c>
      <c r="P48" t="inlineStr">
        <is>
          <t>Tier 1 - C-Suite/Founder</t>
        </is>
      </c>
      <c r="Q48" t="inlineStr">
        <is>
          <t>C-Suite/Founder / General management</t>
        </is>
      </c>
      <c r="R48" t="inlineStr"/>
      <c r="S48" s="3" t="inlineStr">
        <is>
          <t>Hi Rajneesh, your work as CEO at Inorbit Malls (India) Pvt. Ltd. caught my eye. We build small AI use cases that sit on top of existing ERPs — think measurable margin and working-capital gains within a quarter. Would be glad to connect.</t>
        </is>
      </c>
      <c r="T48" s="3" t="inlineStr">
        <is>
          <t>Appreciate the connect, Rajneesh. One idea for Inorbit Malls (India) Pvt. Ltd.: SKU-level demand forecasting and auto-replenishment on top of your ERP. It runs alongside your current ERP, so there's no migration risk — just one contained pilot. Happy to share how similar teams structure it.</t>
        </is>
      </c>
      <c r="U48" s="3" t="inlineStr">
        <is>
          <t>Last note from me, Rajneesh — timing is everything with these projects. If an AI-on-ERP pilot becomes relevant at Inorbit Malls (India) Pvt. Ltd. later, my line's open. Wishing you a strong quarter.</t>
        </is>
      </c>
      <c r="V48" t="inlineStr">
        <is>
          <t>Stockouts at Inorbit Malls (India) Pvt. Ltd.?</t>
        </is>
      </c>
      <c r="W48" s="3" t="inlineStr">
        <is>
          <t>Hi Rajneesh,
As CEO at Inorbit Malls (India) Pvt.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Inorbit Malls (India) Pvt. Ltd.?
Best,
{{SENDER_NAME}}
{{SENDER_EMAIL}} | Book directly: {{CALENDLY_URL}}
P.S. If this isn't relevant, reply "no thanks" and I won't follow up again.</t>
        </is>
      </c>
      <c r="X48" t="inlineStr">
        <is>
          <t>Re: one small AI use case for Inorbit Malls (India) Pvt. Ltd.</t>
        </is>
      </c>
      <c r="Y48" s="3" t="inlineStr">
        <is>
          <t>Hi Rajneesh,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8" t="inlineStr">
        <is>
          <t>Closing the loop, Rajneesh</t>
        </is>
      </c>
      <c r="AA48" s="3" t="inlineStr">
        <is>
          <t>Hi Rajneesh,
I'll close the loop here — inbox zero is sacred.
If stockouts and excess inventory that the ERP reports only after the fact becomes a priority at Inorbit Malls (India) Pvt.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8" t="inlineStr">
        <is>
          <t>Draft</t>
        </is>
      </c>
      <c r="AC48" t="n">
        <v>0</v>
      </c>
      <c r="AD48" t="inlineStr"/>
      <c r="AE48" t="inlineStr"/>
      <c r="AF48" t="inlineStr"/>
    </row>
    <row r="49">
      <c r="A49" t="inlineStr">
        <is>
          <t>Sujay</t>
        </is>
      </c>
      <c r="B49" t="inlineStr">
        <is>
          <t>Gokhale</t>
        </is>
      </c>
      <c r="C49" t="inlineStr">
        <is>
          <t>Senior Manager- CEO’s Office</t>
        </is>
      </c>
      <c r="D49" t="inlineStr">
        <is>
          <t>Trent Ltd</t>
        </is>
      </c>
      <c r="E49" t="inlineStr">
        <is>
          <t>sujay.gokhale@trent-tata.com</t>
        </is>
      </c>
      <c r="F49" t="n">
        <v>26000</v>
      </c>
      <c r="G49" t="inlineStr">
        <is>
          <t>retail</t>
        </is>
      </c>
      <c r="H49" t="inlineStr">
        <is>
          <t>http://www.linkedin.com/in/sujaygokhale</t>
        </is>
      </c>
      <c r="I49" t="inlineStr">
        <is>
          <t>https://trentlimited.com</t>
        </is>
      </c>
      <c r="J49" t="inlineStr">
        <is>
          <t>Mumbai</t>
        </is>
      </c>
      <c r="K49" t="inlineStr">
        <is>
          <t>Maharashtra</t>
        </is>
      </c>
      <c r="L49" t="inlineStr">
        <is>
          <t>India</t>
        </is>
      </c>
      <c r="M49" t="n">
        <v>2026139000</v>
      </c>
      <c r="N49" s="2" t="n">
        <v>94</v>
      </c>
      <c r="O49" s="2" t="inlineStr">
        <is>
          <t>A - Hot</t>
        </is>
      </c>
      <c r="P49" t="inlineStr">
        <is>
          <t>Tier 1 - C-Suite/Founder</t>
        </is>
      </c>
      <c r="Q49" t="inlineStr">
        <is>
          <t>C-Suite/Founder / General management</t>
        </is>
      </c>
      <c r="R49" t="inlineStr"/>
      <c r="S49" s="3" t="inlineStr">
        <is>
          <t>Hi Sujay, your work as Senior Manager- CEO’s Office at Trent Ltd caught my eye. We build small AI use cases that sit on top of existing ERPs — think measurable margin and working-capital gains within a quarter. Would be glad to connect.</t>
        </is>
      </c>
      <c r="T49" s="3" t="inlineStr">
        <is>
          <t>Appreciate the connect, Sujay. One idea for Trent Ltd: SKU-level demand forecasting and auto-replenishment on top of your ERP. It runs alongside your current ERP, so there's no migration risk — just one contained pilot. Happy to share how similar teams structure it.</t>
        </is>
      </c>
      <c r="U49" s="3" t="inlineStr">
        <is>
          <t>Last note from me, Sujay — timing is everything with these projects. If an AI-on-ERP pilot becomes relevant at Trent Ltd later, my line's open. Wishing you a strong quarter.</t>
        </is>
      </c>
      <c r="V49" t="inlineStr">
        <is>
          <t>Stockouts at Trent Ltd?</t>
        </is>
      </c>
      <c r="W49" s="3" t="inlineStr">
        <is>
          <t>Hi Sujay,
As Senior Manager- CEO’s Office at Trent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Trent Ltd?
Best,
{{SENDER_NAME}}
{{SENDER_EMAIL}} | Book directly: {{CALENDLY_URL}}
P.S. If this isn't relevant, reply "no thanks" and I won't follow up again.</t>
        </is>
      </c>
      <c r="X49" t="inlineStr">
        <is>
          <t>How teams like Trent Ltd start with AI on ERP</t>
        </is>
      </c>
      <c r="Y49" s="3" t="inlineStr">
        <is>
          <t>Hi Sujay,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49" t="inlineStr">
        <is>
          <t>Last note — AI on ERP at Trent Ltd</t>
        </is>
      </c>
      <c r="AA49" s="3" t="inlineStr">
        <is>
          <t>Hi Sujay,
I'll close the loop here — inbox zero is sacred.
If stockouts and excess inventory that the ERP reports only after the fact becomes a priority at Trent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49" t="inlineStr">
        <is>
          <t>Draft</t>
        </is>
      </c>
      <c r="AC49" t="n">
        <v>0</v>
      </c>
      <c r="AD49" t="inlineStr"/>
      <c r="AE49" t="inlineStr"/>
      <c r="AF49" t="inlineStr"/>
    </row>
    <row r="50">
      <c r="A50" t="inlineStr">
        <is>
          <t>Anup</t>
        </is>
      </c>
      <c r="B50" t="inlineStr">
        <is>
          <t>Nair</t>
        </is>
      </c>
      <c r="C50" t="inlineStr">
        <is>
          <t>Co-Founder</t>
        </is>
      </c>
      <c r="D50" t="inlineStr">
        <is>
          <t>Mirraw.com</t>
        </is>
      </c>
      <c r="E50" t="inlineStr">
        <is>
          <t>anup.nair@mirraw.com</t>
        </is>
      </c>
      <c r="F50" t="n">
        <v>200</v>
      </c>
      <c r="G50" t="inlineStr">
        <is>
          <t>apparel &amp; fashion</t>
        </is>
      </c>
      <c r="H50" t="inlineStr">
        <is>
          <t>http://www.linkedin.com/in/anup-nair-a741302b</t>
        </is>
      </c>
      <c r="I50" t="inlineStr">
        <is>
          <t>https://mirraw.com</t>
        </is>
      </c>
      <c r="J50" t="inlineStr">
        <is>
          <t>Mumbai</t>
        </is>
      </c>
      <c r="K50" t="inlineStr">
        <is>
          <t>Maharashtra</t>
        </is>
      </c>
      <c r="L50" t="inlineStr">
        <is>
          <t>India</t>
        </is>
      </c>
      <c r="M50" t="n">
        <v>36400000</v>
      </c>
      <c r="N50" s="2" t="n">
        <v>93</v>
      </c>
      <c r="O50" s="2" t="inlineStr">
        <is>
          <t>A - Hot</t>
        </is>
      </c>
      <c r="P50" t="inlineStr">
        <is>
          <t>Tier 1 - C-Suite/Founder</t>
        </is>
      </c>
      <c r="Q50" t="inlineStr">
        <is>
          <t>C-Suite/Founder / General management</t>
        </is>
      </c>
      <c r="R50" t="inlineStr"/>
      <c r="S50" s="3" t="inlineStr">
        <is>
          <t>Hi Anup, we help teams like Mirraw.com's tackle broken size sets and end-of-season markdowns with AI add-ons to their existing ERP — no replatforming. Keen to connect and swap notes.</t>
        </is>
      </c>
      <c r="T50" s="3" t="inlineStr">
        <is>
          <t>Glad to be connected, Anup. Most apparel &amp; fashion teams we meet struggle with broken size sets and end-of-season markdowns. We fix exactly that with size-curve planning and season-buy optimization that reads straight from your ERP. Open to a 15-minute walkthrough?</t>
        </is>
      </c>
      <c r="U50" s="3" t="inlineStr">
        <is>
          <t>Anup, I'll leave this here rather than keep nudging — if broken size sets and end-of-season markdowns ever climbs the priority list at Mirraw.com, a 15-minute call is all it takes to see if there's a fit. Either way, good luck this quarter.</t>
        </is>
      </c>
      <c r="V50" t="inlineStr">
        <is>
          <t>Anup, a faster fix for broken size sets</t>
        </is>
      </c>
      <c r="W50" s="3" t="inlineStr">
        <is>
          <t>Hi Anup,
As Co-Founder at Mirraw.com,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Mirraw.com?
Best,
{{SENDER_NAME}}
{{SENDER_EMAIL}} | Book directly: {{CALENDLY_URL}}
P.S. If this isn't relevant, reply "no thanks" and I won't follow up again.</t>
        </is>
      </c>
      <c r="X50" t="inlineStr">
        <is>
          <t>Re: one small AI use case for Mirraw.com</t>
        </is>
      </c>
      <c r="Y50" s="3" t="inlineStr">
        <is>
          <t>Hi Anup,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50" t="inlineStr">
        <is>
          <t>Closing the loop, Anup</t>
        </is>
      </c>
      <c r="AA50" s="3" t="inlineStr">
        <is>
          <t>Hi Anup,
I'll close the loop here — inbox zero is sacred.
If broken size sets and end-of-season markdowns becomes a priority at Mirraw.com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50" t="inlineStr">
        <is>
          <t>Draft</t>
        </is>
      </c>
      <c r="AC50" t="n">
        <v>0</v>
      </c>
      <c r="AD50" t="inlineStr"/>
      <c r="AE50" t="inlineStr"/>
      <c r="AF50" t="inlineStr"/>
    </row>
    <row r="51">
      <c r="A51" t="inlineStr">
        <is>
          <t>Mahek</t>
        </is>
      </c>
      <c r="B51" t="inlineStr">
        <is>
          <t>Kotak</t>
        </is>
      </c>
      <c r="C51" t="inlineStr">
        <is>
          <t>Management Trainee - CEO's Office</t>
        </is>
      </c>
      <c r="D51" t="inlineStr">
        <is>
          <t>Medkart Pharmacy</t>
        </is>
      </c>
      <c r="E51" t="inlineStr">
        <is>
          <t>mahek.k@medkart.in</t>
        </is>
      </c>
      <c r="F51" t="n">
        <v>270</v>
      </c>
      <c r="G51" t="inlineStr">
        <is>
          <t>retail</t>
        </is>
      </c>
      <c r="H51" t="inlineStr">
        <is>
          <t>http://www.linkedin.com/in/mahek-kotak-7044031b7</t>
        </is>
      </c>
      <c r="I51" t="inlineStr">
        <is>
          <t>https://medkart.in</t>
        </is>
      </c>
      <c r="J51" t="inlineStr">
        <is>
          <t>Ahmedabad</t>
        </is>
      </c>
      <c r="K51" t="inlineStr">
        <is>
          <t>Gujarat</t>
        </is>
      </c>
      <c r="L51" t="inlineStr">
        <is>
          <t>India</t>
        </is>
      </c>
      <c r="M51" t="n">
        <v>44000000</v>
      </c>
      <c r="N51" s="2" t="n">
        <v>93</v>
      </c>
      <c r="O51" s="2" t="inlineStr">
        <is>
          <t>A - Hot</t>
        </is>
      </c>
      <c r="P51" t="inlineStr">
        <is>
          <t>Tier 1 - C-Suite/Founder</t>
        </is>
      </c>
      <c r="Q51" t="inlineStr">
        <is>
          <t>C-Suite/Founder / General management</t>
        </is>
      </c>
      <c r="R51" t="inlineStr"/>
      <c r="S51" s="3" t="inlineStr">
        <is>
          <t>Hi Mahek, your work as Management Trainee - CEO's Office at Medkart Pharmacy caught my eye. We build small AI use cases that sit on top of existing ERPs — think measurable margin and working-capital gains within a quarter. Would be glad to connect.</t>
        </is>
      </c>
      <c r="T51" s="3" t="inlineStr">
        <is>
          <t>Appreciate the connect, Mahek. One idea for Medkart Pharmacy: SKU-level demand forecasting and auto-replenishment on top of your ERP. It runs alongside your current ERP, so there's no migration risk — just one contained pilot. Happy to share how similar teams structure it.</t>
        </is>
      </c>
      <c r="U51" s="3" t="inlineStr">
        <is>
          <t>Last note from me, Mahek — timing is everything with these projects. If an AI-on-ERP pilot becomes relevant at Medkart Pharmacy later, my line's open. Wishing you a strong quarter.</t>
        </is>
      </c>
      <c r="V51" t="inlineStr">
        <is>
          <t>Stockouts at Medkart Pharmacy?</t>
        </is>
      </c>
      <c r="W51" s="3" t="inlineStr">
        <is>
          <t>Hi Mahek,
As Management Trainee - CEO's Office at Medkart Pharmacy,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Medkart Pharmacy?
Best,
{{SENDER_NAME}}
{{SENDER_EMAIL}} | Book directly: {{CALENDLY_URL}}
P.S. If this isn't relevant, reply "no thanks" and I won't follow up again.</t>
        </is>
      </c>
      <c r="X51" t="inlineStr">
        <is>
          <t>How teams like Medkart Pharmacy start with AI on ERP</t>
        </is>
      </c>
      <c r="Y51" s="3" t="inlineStr">
        <is>
          <t>Hi Mahek,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51" t="inlineStr">
        <is>
          <t>Should I stay or should I go, Mahek?</t>
        </is>
      </c>
      <c r="AA51" s="3" t="inlineStr">
        <is>
          <t>Hi Mahek,
I'll close the loop here — inbox zero is sacred.
If stockouts and excess inventory that the ERP reports only after the fact becomes a priority at Medkart Pharmacy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51" t="inlineStr">
        <is>
          <t>Draft</t>
        </is>
      </c>
      <c r="AC51" t="n">
        <v>0</v>
      </c>
      <c r="AD51" t="inlineStr"/>
      <c r="AE51" t="inlineStr"/>
      <c r="AF51" t="inlineStr"/>
    </row>
    <row r="52">
      <c r="A52" t="inlineStr">
        <is>
          <t>Dinesh</t>
        </is>
      </c>
      <c r="B52" t="inlineStr">
        <is>
          <t>Taluja</t>
        </is>
      </c>
      <c r="C52" t="inlineStr">
        <is>
          <t>Group CFO</t>
        </is>
      </c>
      <c r="D52" t="inlineStr">
        <is>
          <t>Reliance Retail</t>
        </is>
      </c>
      <c r="E52" t="inlineStr">
        <is>
          <t>dinesh.taluja@ril.com</t>
        </is>
      </c>
      <c r="F52" t="n">
        <v>246000</v>
      </c>
      <c r="G52" t="inlineStr">
        <is>
          <t>retail</t>
        </is>
      </c>
      <c r="H52" t="inlineStr">
        <is>
          <t>http://www.linkedin.com/in/dinesh-taluja-3149975</t>
        </is>
      </c>
      <c r="I52" t="inlineStr">
        <is>
          <t>https://relianceretail.com</t>
        </is>
      </c>
      <c r="J52" t="inlineStr">
        <is>
          <t>Mumbai</t>
        </is>
      </c>
      <c r="K52" t="inlineStr">
        <is>
          <t>Maharashtra</t>
        </is>
      </c>
      <c r="L52" t="inlineStr">
        <is>
          <t>India</t>
        </is>
      </c>
      <c r="M52" t="n">
        <v>3864000000</v>
      </c>
      <c r="N52" s="2" t="n">
        <v>92</v>
      </c>
      <c r="O52" s="2" t="inlineStr">
        <is>
          <t>A - Hot</t>
        </is>
      </c>
      <c r="P52" t="inlineStr">
        <is>
          <t>Tier 1 - C-Suite/Founder</t>
        </is>
      </c>
      <c r="Q52" t="inlineStr">
        <is>
          <t>C-Suite/Founder / General management</t>
        </is>
      </c>
      <c r="R52" t="inlineStr"/>
      <c r="S52" s="3" t="inlineStr">
        <is>
          <t>Hi Dinesh, I work with retail leaders on recovering margin leakage and freeing working capital trapped in inventory — lightweight AI that plugs into the ERP you already run. Given your seat at Reliance Retail, thought it was worth connecting.</t>
        </is>
      </c>
      <c r="T52" s="3" t="inlineStr">
        <is>
          <t>Thanks for connecting, Dinesh. Quick context: we ship SKU-level demand forecasting and auto-replenishment on top of your ERP. Teams typically start with one narrow use case and see results in weeks, not an ERP-project timeline. Worth a short look for Reliance Retail?</t>
        </is>
      </c>
      <c r="U52" s="3" t="inlineStr">
        <is>
          <t>Dinesh, closing the loop so I'm not another unread ping. If it's useful, I can send a one-pager on SKU-level demand forecasting and auto-replenishment on top of your ERP for Reliance Retail — zero meetings needed. Just say the word.</t>
        </is>
      </c>
      <c r="V52" t="inlineStr">
        <is>
          <t>Stockouts at Reliance Retail?</t>
        </is>
      </c>
      <c r="W52" s="3" t="inlineStr">
        <is>
          <t>Hi Dinesh,
As Group CFO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Reliance Retail?
Best,
{{SENDER_NAME}}
{{SENDER_EMAIL}} | Book directly: {{CALENDLY_URL}}
P.S. If this isn't relevant, reply "no thanks" and I won't follow up again.</t>
        </is>
      </c>
      <c r="X52" t="inlineStr">
        <is>
          <t>Dinesh — the 3-week pilot version</t>
        </is>
      </c>
      <c r="Y52" s="3" t="inlineStr">
        <is>
          <t>Hi Dinesh,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52" t="inlineStr">
        <is>
          <t>Closing the loop, Dinesh</t>
        </is>
      </c>
      <c r="AA52" s="3" t="inlineStr">
        <is>
          <t>Hi Dinesh,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52" t="inlineStr">
        <is>
          <t>Draft</t>
        </is>
      </c>
      <c r="AC52" t="n">
        <v>0</v>
      </c>
      <c r="AD52" t="inlineStr"/>
      <c r="AE52" t="inlineStr"/>
      <c r="AF52" t="inlineStr"/>
    </row>
    <row r="53">
      <c r="A53" t="inlineStr">
        <is>
          <t>Raja</t>
        </is>
      </c>
      <c r="B53" t="inlineStr">
        <is>
          <t>Reddy</t>
        </is>
      </c>
      <c r="C53" t="inlineStr">
        <is>
          <t>Assistant Vice President SCM</t>
        </is>
      </c>
      <c r="D53" t="inlineStr">
        <is>
          <t>Reliance Retail</t>
        </is>
      </c>
      <c r="E53" t="inlineStr">
        <is>
          <t>raja.reddy@ril.com</t>
        </is>
      </c>
      <c r="F53" t="n">
        <v>246000</v>
      </c>
      <c r="G53" t="inlineStr">
        <is>
          <t>retail</t>
        </is>
      </c>
      <c r="H53" t="inlineStr">
        <is>
          <t>http://www.linkedin.com/in/raja-sekhara-reddy-4104a73b</t>
        </is>
      </c>
      <c r="I53" t="inlineStr">
        <is>
          <t>https://relianceretail.com</t>
        </is>
      </c>
      <c r="J53" t="inlineStr">
        <is>
          <t>Bengaluru</t>
        </is>
      </c>
      <c r="K53" t="inlineStr">
        <is>
          <t>Karnataka</t>
        </is>
      </c>
      <c r="L53" t="inlineStr">
        <is>
          <t>India</t>
        </is>
      </c>
      <c r="M53" t="n">
        <v>3864000000</v>
      </c>
      <c r="N53" s="2" t="n">
        <v>92</v>
      </c>
      <c r="O53" s="2" t="inlineStr">
        <is>
          <t>A - Hot</t>
        </is>
      </c>
      <c r="P53" t="inlineStr">
        <is>
          <t>Tier 1 - C-Suite/Founder</t>
        </is>
      </c>
      <c r="Q53" t="inlineStr">
        <is>
          <t>C-Suite/Founder / General management</t>
        </is>
      </c>
      <c r="R53" t="inlineStr"/>
      <c r="S53" s="3" t="inlineStr">
        <is>
          <t>Hi Raja, your work as Assistant Vice President SCM at Reliance Retail caught my eye. We build small AI use cases that sit on top of existing ERPs — think measurable margin and working-capital gains within a quarter. Would be glad to connect.</t>
        </is>
      </c>
      <c r="T53" s="3" t="inlineStr">
        <is>
          <t>Thanks for connecting, Raja. Quick context: we ship SKU-level demand forecasting and auto-replenishment on top of your ERP. Teams typically start with one narrow use case and see results in weeks, not an ERP-project timeline. Worth a short look for Reliance Retail?</t>
        </is>
      </c>
      <c r="U53" s="3" t="inlineStr">
        <is>
          <t>Raja, I'll leave this here rather than keep nudging — if stockouts and excess inventory that the ERP reports only after the fact ever climbs the priority list at Reliance Retail, a 15-minute call is all it takes to see if there's a fit. Either way, good luck this quarter.</t>
        </is>
      </c>
      <c r="V53" t="inlineStr">
        <is>
          <t>Raja, a faster fix for stockouts</t>
        </is>
      </c>
      <c r="W53" s="3" t="inlineStr">
        <is>
          <t>Hi Raja,
As Assistant Vice President SCM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53" t="inlineStr">
        <is>
          <t>Raja — the 3-week pilot version</t>
        </is>
      </c>
      <c r="Y53" s="3" t="inlineStr">
        <is>
          <t>Hi Raja,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53" t="inlineStr">
        <is>
          <t>Last note — AI on ERP at Reliance Retail</t>
        </is>
      </c>
      <c r="AA53" s="3" t="inlineStr">
        <is>
          <t>Hi Raja,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53" t="inlineStr">
        <is>
          <t>Draft</t>
        </is>
      </c>
      <c r="AC53" t="n">
        <v>0</v>
      </c>
      <c r="AD53" t="inlineStr"/>
      <c r="AE53" t="inlineStr"/>
      <c r="AF53" t="inlineStr"/>
    </row>
    <row r="54">
      <c r="A54" t="inlineStr">
        <is>
          <t>Rajiv</t>
        </is>
      </c>
      <c r="B54" t="inlineStr">
        <is>
          <t>Palicha</t>
        </is>
      </c>
      <c r="C54" t="inlineStr">
        <is>
          <t>Product Owner Spices</t>
        </is>
      </c>
      <c r="D54" t="inlineStr">
        <is>
          <t>Reliance Retail</t>
        </is>
      </c>
      <c r="E54" t="inlineStr">
        <is>
          <t>rajiv.palicha@ril.com</t>
        </is>
      </c>
      <c r="F54" t="n">
        <v>246000</v>
      </c>
      <c r="G54" t="inlineStr">
        <is>
          <t>retail</t>
        </is>
      </c>
      <c r="H54" t="inlineStr">
        <is>
          <t>http://www.linkedin.com/in/rajiv-palicha-02672b1b8</t>
        </is>
      </c>
      <c r="I54" t="inlineStr">
        <is>
          <t>https://relianceretail.com</t>
        </is>
      </c>
      <c r="J54" t="inlineStr">
        <is>
          <t>Kochi</t>
        </is>
      </c>
      <c r="K54" t="inlineStr">
        <is>
          <t>Kerala</t>
        </is>
      </c>
      <c r="L54" t="inlineStr">
        <is>
          <t>India</t>
        </is>
      </c>
      <c r="M54" t="n">
        <v>3864000000</v>
      </c>
      <c r="N54" s="2" t="n">
        <v>92</v>
      </c>
      <c r="O54" s="2" t="inlineStr">
        <is>
          <t>A - Hot</t>
        </is>
      </c>
      <c r="P54" t="inlineStr">
        <is>
          <t>Tier 1 - C-Suite/Founder</t>
        </is>
      </c>
      <c r="Q54" t="inlineStr">
        <is>
          <t>C-Suite/Founder / General management</t>
        </is>
      </c>
      <c r="R54" t="inlineStr"/>
      <c r="S54" s="3" t="inlineStr">
        <is>
          <t>Hi Rajiv, we help teams like Reliance Retail's tackle stockouts and excess inventory that the ERP reports only after the fact with AI add-ons to their existing ERP — no replatforming. Keen to connect and swap notes.</t>
        </is>
      </c>
      <c r="T54" s="3" t="inlineStr">
        <is>
          <t>Thanks for connecting, Rajiv. Quick context: we ship SKU-level demand forecasting and auto-replenishment on top of your ERP. Teams typically start with one narrow use case and see results in weeks, not an ERP-project timeline. Worth a short look for Reliance Retail?</t>
        </is>
      </c>
      <c r="U54" s="3" t="inlineStr">
        <is>
          <t>Rajiv, closing the loop so I'm not another unread ping. If it's useful, I can send a one-pager on SKU-level demand forecasting and auto-replenishment on top of your ERP for Reliance Retail — zero meetings needed. Just say the word.</t>
        </is>
      </c>
      <c r="V54" t="inlineStr">
        <is>
          <t>Rajiv, a faster fix for stockouts</t>
        </is>
      </c>
      <c r="W54" s="3" t="inlineStr">
        <is>
          <t>Hi Rajiv,
As Product Owner Spices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54" t="inlineStr">
        <is>
          <t>Rajiv — the 3-week pilot version</t>
        </is>
      </c>
      <c r="Y54" s="3" t="inlineStr">
        <is>
          <t>Hi Rajiv,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54" t="inlineStr">
        <is>
          <t>Closing the loop, Rajiv</t>
        </is>
      </c>
      <c r="AA54" s="3" t="inlineStr">
        <is>
          <t>Hi Rajiv,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54" t="inlineStr">
        <is>
          <t>Draft</t>
        </is>
      </c>
      <c r="AC54" t="n">
        <v>0</v>
      </c>
      <c r="AD54" t="inlineStr"/>
      <c r="AE54" t="inlineStr"/>
      <c r="AF54" t="inlineStr"/>
    </row>
    <row r="55">
      <c r="A55" t="inlineStr">
        <is>
          <t>Sandeep</t>
        </is>
      </c>
      <c r="B55" t="inlineStr">
        <is>
          <t>Varaganti</t>
        </is>
      </c>
      <c r="C55" t="inlineStr">
        <is>
          <t>CEO JioMart</t>
        </is>
      </c>
      <c r="D55" t="inlineStr">
        <is>
          <t>Reliance Retail</t>
        </is>
      </c>
      <c r="E55" t="inlineStr">
        <is>
          <t>sandeep.varaganti@reliance.com</t>
        </is>
      </c>
      <c r="F55" t="n">
        <v>246000</v>
      </c>
      <c r="G55" t="inlineStr">
        <is>
          <t>retail</t>
        </is>
      </c>
      <c r="H55" t="inlineStr">
        <is>
          <t>http://www.linkedin.com/in/sandeepvaraganti</t>
        </is>
      </c>
      <c r="I55" t="inlineStr">
        <is>
          <t>https://relianceretail.com</t>
        </is>
      </c>
      <c r="J55" t="inlineStr">
        <is>
          <t>Hyderabad</t>
        </is>
      </c>
      <c r="K55" t="inlineStr">
        <is>
          <t>Telangana</t>
        </is>
      </c>
      <c r="L55" t="inlineStr">
        <is>
          <t>India</t>
        </is>
      </c>
      <c r="M55" t="n">
        <v>3864000000</v>
      </c>
      <c r="N55" s="2" t="n">
        <v>92</v>
      </c>
      <c r="O55" s="2" t="inlineStr">
        <is>
          <t>A - Hot</t>
        </is>
      </c>
      <c r="P55" t="inlineStr">
        <is>
          <t>Tier 1 - C-Suite/Founder</t>
        </is>
      </c>
      <c r="Q55" t="inlineStr">
        <is>
          <t>C-Suite/Founder / General management</t>
        </is>
      </c>
      <c r="R55" t="inlineStr"/>
      <c r="S55" s="3" t="inlineStr">
        <is>
          <t>Hi Sandeep, your work as CEO JioMart at Reliance Retail caught my eye. We build small AI use cases that sit on top of existing ERPs — think measurable margin and working-capital gains within a quarter. Would be glad to connect.</t>
        </is>
      </c>
      <c r="T55" s="3" t="inlineStr">
        <is>
          <t>Thanks for connecting, Sandeep. Quick context: we ship SKU-level demand forecasting and auto-replenishment on top of your ERP. Teams typically start with one narrow use case and see results in weeks, not an ERP-project timeline. Worth a short look for Reliance Retail?</t>
        </is>
      </c>
      <c r="U55" s="3" t="inlineStr">
        <is>
          <t>Sandeep, closing the loop so I'm not another unread ping. If it's useful, I can send a one-pager on SKU-level demand forecasting and auto-replenishment on top of your ERP for Reliance Retail — zero meetings needed. Just say the word.</t>
        </is>
      </c>
      <c r="V55" t="inlineStr">
        <is>
          <t>Stockouts at Reliance Retail?</t>
        </is>
      </c>
      <c r="W55" s="3" t="inlineStr">
        <is>
          <t>Hi Sandeep,
As CEO JioMart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55" t="inlineStr">
        <is>
          <t>How teams like Reliance Retail start with AI on ERP</t>
        </is>
      </c>
      <c r="Y55" s="3" t="inlineStr">
        <is>
          <t>Hi Sandeep,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55" t="inlineStr">
        <is>
          <t>Last note — AI on ERP at Reliance Retail</t>
        </is>
      </c>
      <c r="AA55" s="3" t="inlineStr">
        <is>
          <t>Hi Sandeep,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55" t="inlineStr">
        <is>
          <t>Draft</t>
        </is>
      </c>
      <c r="AC55" t="n">
        <v>0</v>
      </c>
      <c r="AD55" t="inlineStr"/>
      <c r="AE55" t="inlineStr"/>
      <c r="AF55" t="inlineStr"/>
    </row>
    <row r="56">
      <c r="A56" t="inlineStr">
        <is>
          <t>Mudhoji</t>
        </is>
      </c>
      <c r="B56" t="inlineStr">
        <is>
          <t>Kolekar</t>
        </is>
      </c>
      <c r="C56" t="inlineStr">
        <is>
          <t>Senior Vice President Operations</t>
        </is>
      </c>
      <c r="D56" t="inlineStr">
        <is>
          <t>BHILOSA INDUSTRIES PRIVATE LIMITED</t>
        </is>
      </c>
      <c r="E56" t="inlineStr">
        <is>
          <t>mudhojik@bhilosa.com</t>
        </is>
      </c>
      <c r="F56" t="n">
        <v>1700</v>
      </c>
      <c r="G56" t="inlineStr">
        <is>
          <t>textiles</t>
        </is>
      </c>
      <c r="H56" t="inlineStr">
        <is>
          <t>http://www.linkedin.com/in/mudhoji-kolekar-a84b3855</t>
        </is>
      </c>
      <c r="I56" t="inlineStr">
        <is>
          <t>https://bhilosa.com</t>
        </is>
      </c>
      <c r="J56" t="inlineStr">
        <is>
          <t>Vapi</t>
        </is>
      </c>
      <c r="K56" t="inlineStr">
        <is>
          <t>Gujarat</t>
        </is>
      </c>
      <c r="L56" t="inlineStr">
        <is>
          <t>India</t>
        </is>
      </c>
      <c r="M56" t="n">
        <v>979500000</v>
      </c>
      <c r="N56" s="2" t="n">
        <v>91</v>
      </c>
      <c r="O56" s="2" t="inlineStr">
        <is>
          <t>A - Hot</t>
        </is>
      </c>
      <c r="P56" t="inlineStr">
        <is>
          <t>Tier 1 - C-Suite/Founder</t>
        </is>
      </c>
      <c r="Q56" t="inlineStr">
        <is>
          <t>C-Suite/Founder / Ops/Tech/Finance/Commercial</t>
        </is>
      </c>
      <c r="R56" t="inlineStr"/>
      <c r="S56" s="3" t="inlineStr">
        <is>
          <t>Hi Mudhoji, we help teams like BHILOSA INDUSTRIES PRIVATE LIMITED's tackle delivery-date slippage and yarn/greige inventory pile-ups with AI add-ons to their existing ERP — no replatforming. Keen to connect and swap notes.</t>
        </is>
      </c>
      <c r="T56" s="3" t="inlineStr">
        <is>
          <t>Thanks for connecting, Mudhoji. Quick context: we ship production scheduling and order-to-dispatch tracking layered on your ERP. Teams typically start with one narrow use case and see results in weeks, not an ERP-project timeline. Worth a short look for BHILOSA INDUSTRIES PRIVATE LIMITED?</t>
        </is>
      </c>
      <c r="U56" s="3" t="inlineStr">
        <is>
          <t>Mudhoji, I'll leave this here rather than keep nudging — if delivery-date slippage and yarn/greige inventory pile-ups ever climbs the priority list at BHILOSA INDUSTRIES PRIVATE LIMITED, a 15-minute call is all it takes to see if there's a fit. Either way, good luck this quarter.</t>
        </is>
      </c>
      <c r="V56" t="inlineStr">
        <is>
          <t>Delivery-date slippage at BHILOSA INDUSTRIES PRIVATE LIMITED?</t>
        </is>
      </c>
      <c r="W56" s="3" t="inlineStr">
        <is>
          <t>Hi Mudhoji,
As Senior Vice President Operations at BHILOSA INDUSTRIES PRIVATE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BHILOSA INDUSTRIES PRIVATE LIMITED?
Best,
{{SENDER_NAME}}
{{SENDER_EMAIL}} | Book directly: {{CALENDLY_URL}}
P.S. If this isn't relevant, reply "no thanks" and I won't follow up again.</t>
        </is>
      </c>
      <c r="X56" t="inlineStr">
        <is>
          <t>Mudhoji — the 3-week pilot version</t>
        </is>
      </c>
      <c r="Y56" s="3" t="inlineStr">
        <is>
          <t>Hi Mudhoji,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56" t="inlineStr">
        <is>
          <t>Last note — AI on ERP at BHILOSA INDUSTRIES PRIVATE LIMITED</t>
        </is>
      </c>
      <c r="AA56" s="3" t="inlineStr">
        <is>
          <t>Hi Mudhoji,
I'll close the loop here — inbox zero is sacred.
If delivery-date slippage and yarn/greige inventory pile-ups becomes a priority at BHILOSA INDUSTRIES PRIVATE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56" t="inlineStr">
        <is>
          <t>Draft</t>
        </is>
      </c>
      <c r="AC56" t="n">
        <v>0</v>
      </c>
      <c r="AD56" t="inlineStr"/>
      <c r="AE56" t="inlineStr"/>
      <c r="AF56" t="inlineStr"/>
    </row>
    <row r="57">
      <c r="A57" t="inlineStr">
        <is>
          <t>V</t>
        </is>
      </c>
      <c r="B57" t="inlineStr">
        <is>
          <t>Jagadesh</t>
        </is>
      </c>
      <c r="C57" t="inlineStr">
        <is>
          <t>Chief Operating Officer</t>
        </is>
      </c>
      <c r="D57" t="inlineStr">
        <is>
          <t>Apollo Pharmacy</t>
        </is>
      </c>
      <c r="E57" t="inlineStr">
        <is>
          <t>v.jagadesh@apollopharmacy.org</t>
        </is>
      </c>
      <c r="F57" t="n">
        <v>10000</v>
      </c>
      <c r="G57" t="inlineStr">
        <is>
          <t>retail</t>
        </is>
      </c>
      <c r="H57" t="inlineStr">
        <is>
          <t>http://www.linkedin.com/in/v-jagadesh-9b95028</t>
        </is>
      </c>
      <c r="I57" t="inlineStr">
        <is>
          <t>https://apollopharmacy.in</t>
        </is>
      </c>
      <c r="J57" t="inlineStr">
        <is>
          <t>Chennai</t>
        </is>
      </c>
      <c r="K57" t="inlineStr">
        <is>
          <t>Tamil Nadu</t>
        </is>
      </c>
      <c r="L57" t="inlineStr">
        <is>
          <t>India</t>
        </is>
      </c>
      <c r="M57" t="n">
        <v>1205000000</v>
      </c>
      <c r="N57" s="2" t="n">
        <v>91</v>
      </c>
      <c r="O57" s="2" t="inlineStr">
        <is>
          <t>A - Hot</t>
        </is>
      </c>
      <c r="P57" t="inlineStr">
        <is>
          <t>Tier 1 - C-Suite/Founder</t>
        </is>
      </c>
      <c r="Q57" t="inlineStr">
        <is>
          <t>C-Suite/Founder / General</t>
        </is>
      </c>
      <c r="R57" t="inlineStr"/>
      <c r="S57" s="3" t="inlineStr">
        <is>
          <t>Hi V, we help teams like Apollo Pharmacy's tackle stockouts and excess inventory that the ERP reports only after the fact with AI add-ons to their existing ERP — no replatforming. Keen to connect and swap notes.</t>
        </is>
      </c>
      <c r="T57" s="3" t="inlineStr">
        <is>
          <t>Appreciate the connect, V. One idea for Apollo Pharmacy: SKU-level demand forecasting and auto-replenishment on top of your ERP. It runs alongside your current ERP, so there's no migration risk — just one contained pilot. Happy to share how similar teams structure it.</t>
        </is>
      </c>
      <c r="U57" s="3" t="inlineStr">
        <is>
          <t>Last note from me, V — timing is everything with these projects. If an AI-on-ERP pilot becomes relevant at Apollo Pharmacy later, my line's open. Wishing you a strong quarter.</t>
        </is>
      </c>
      <c r="V57" t="inlineStr">
        <is>
          <t>V, a faster fix for stockouts</t>
        </is>
      </c>
      <c r="W57" s="3" t="inlineStr">
        <is>
          <t>Hi V,
As Chief Operating Officer at Apollo Pharmacy,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Apollo Pharmacy?
Best,
{{SENDER_NAME}}
{{SENDER_EMAIL}} | Book directly: {{CALENDLY_URL}}
P.S. If this isn't relevant, reply "no thanks" and I won't follow up again.</t>
        </is>
      </c>
      <c r="X57" t="inlineStr">
        <is>
          <t>V — the 3-week pilot version</t>
        </is>
      </c>
      <c r="Y57" s="3" t="inlineStr">
        <is>
          <t>Hi V,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57" t="inlineStr">
        <is>
          <t>Last note — AI on ERP at Apollo Pharmacy</t>
        </is>
      </c>
      <c r="AA57" s="3" t="inlineStr">
        <is>
          <t>Hi V,
I'll close the loop here — inbox zero is sacred.
If stockouts and excess inventory that the ERP reports only after the fact becomes a priority at Apollo Pharmacy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57" t="inlineStr">
        <is>
          <t>Draft</t>
        </is>
      </c>
      <c r="AC57" t="n">
        <v>0</v>
      </c>
      <c r="AD57" t="inlineStr"/>
      <c r="AE57" t="inlineStr"/>
      <c r="AF57" t="inlineStr"/>
    </row>
    <row r="58">
      <c r="A58" t="inlineStr">
        <is>
          <t>Dipen</t>
        </is>
      </c>
      <c r="B58" t="inlineStr">
        <is>
          <t>Patel</t>
        </is>
      </c>
      <c r="C58" t="inlineStr">
        <is>
          <t>Vice President Operations</t>
        </is>
      </c>
      <c r="D58" t="inlineStr">
        <is>
          <t>Globe Textiles India Limited</t>
        </is>
      </c>
      <c r="E58" t="inlineStr">
        <is>
          <t>dipen@globetextiles.net</t>
        </is>
      </c>
      <c r="F58" t="n">
        <v>81</v>
      </c>
      <c r="G58" t="inlineStr">
        <is>
          <t>apparel &amp; fashion</t>
        </is>
      </c>
      <c r="H58" t="inlineStr">
        <is>
          <t>http://www.linkedin.com/in/dipen-patel-a4449350</t>
        </is>
      </c>
      <c r="I58" t="inlineStr">
        <is>
          <t>https://globetextiles.net</t>
        </is>
      </c>
      <c r="J58" t="inlineStr">
        <is>
          <t>Ahmedabad</t>
        </is>
      </c>
      <c r="K58" t="inlineStr">
        <is>
          <t>Gujarat</t>
        </is>
      </c>
      <c r="L58" t="inlineStr">
        <is>
          <t>India</t>
        </is>
      </c>
      <c r="M58" t="n">
        <v>50475000</v>
      </c>
      <c r="N58" s="2" t="n">
        <v>91</v>
      </c>
      <c r="O58" s="2" t="inlineStr">
        <is>
          <t>A - Hot</t>
        </is>
      </c>
      <c r="P58" t="inlineStr">
        <is>
          <t>Tier 1 - C-Suite/Founder</t>
        </is>
      </c>
      <c r="Q58" t="inlineStr">
        <is>
          <t>C-Suite/Founder / Ops/Tech/Finance/Commercial</t>
        </is>
      </c>
      <c r="R58" t="inlineStr"/>
      <c r="S58" s="3" t="inlineStr">
        <is>
          <t>Hi Dipen, we help teams like Globe Textiles India Limited's tackle broken size sets and end-of-season markdowns with AI add-ons to their existing ERP — no replatforming. Keen to connect and swap notes.</t>
        </is>
      </c>
      <c r="T58" s="3" t="inlineStr">
        <is>
          <t>Glad to be connected, Dipen. Most apparel &amp; fashion teams we meet struggle with broken size sets and end-of-season markdowns. We fix exactly that with size-curve planning and season-buy optimization that reads straight from your ERP. Open to a 15-minute walkthrough?</t>
        </is>
      </c>
      <c r="U58" s="3" t="inlineStr">
        <is>
          <t>Last note from me, Dipen — timing is everything with these projects. If an AI-on-ERP pilot becomes relevant at Globe Textiles India Limited later, my line's open. Wishing you a strong quarter.</t>
        </is>
      </c>
      <c r="V58" t="inlineStr">
        <is>
          <t>Dipen, a faster fix for broken size sets</t>
        </is>
      </c>
      <c r="W58" s="3" t="inlineStr">
        <is>
          <t>Hi Dipen,
As Vice President Operations at Globe Textiles India Limited,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fewer stockouts and far less manual reconciliation.
Open to a 15-minute call to see if there's a fit for Globe Textiles India Limited?
Best,
{{SENDER_NAME}}
{{SENDER_EMAIL}} | Book directly: {{CALENDLY_URL}}
P.S. If this isn't relevant, reply "no thanks" and I won't follow up again.</t>
        </is>
      </c>
      <c r="X58" t="inlineStr">
        <is>
          <t>Dipen — the 3-week pilot version</t>
        </is>
      </c>
      <c r="Y58" s="3" t="inlineStr">
        <is>
          <t>Hi Dipen,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58" t="inlineStr">
        <is>
          <t>Should I stay or should I go, Dipen?</t>
        </is>
      </c>
      <c r="AA58" s="3" t="inlineStr">
        <is>
          <t>Hi Dipen,
I'll close the loop here — inbox zero is sacred.
If broken size sets and end-of-season markdowns becomes a priority at Globe Textiles India Limited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58" t="inlineStr">
        <is>
          <t>Draft</t>
        </is>
      </c>
      <c r="AC58" t="n">
        <v>0</v>
      </c>
      <c r="AD58" t="inlineStr"/>
      <c r="AE58" t="inlineStr"/>
      <c r="AF58" t="inlineStr"/>
    </row>
    <row r="59">
      <c r="A59" t="inlineStr">
        <is>
          <t>Abhijit</t>
        </is>
      </c>
      <c r="B59" t="inlineStr">
        <is>
          <t>Joshi</t>
        </is>
      </c>
      <c r="C59" t="inlineStr">
        <is>
          <t>Assistant Vice President Production</t>
        </is>
      </c>
      <c r="D59" t="inlineStr">
        <is>
          <t>Garware Technical Fibres Limited</t>
        </is>
      </c>
      <c r="E59" t="inlineStr">
        <is>
          <t>ajoshi@garwarefibres.com</t>
        </is>
      </c>
      <c r="F59" t="n">
        <v>1200</v>
      </c>
      <c r="G59" t="inlineStr">
        <is>
          <t>textiles</t>
        </is>
      </c>
      <c r="H59" t="inlineStr">
        <is>
          <t>http://www.linkedin.com/in/abhijit-joshi-ba85514</t>
        </is>
      </c>
      <c r="I59" t="inlineStr">
        <is>
          <t>https://garwarefibres.com</t>
        </is>
      </c>
      <c r="J59" t="inlineStr"/>
      <c r="K59" t="inlineStr">
        <is>
          <t>Maharashtra</t>
        </is>
      </c>
      <c r="L59" t="inlineStr">
        <is>
          <t>India</t>
        </is>
      </c>
      <c r="M59" t="n">
        <v>182142000</v>
      </c>
      <c r="N59" s="2" t="n">
        <v>91</v>
      </c>
      <c r="O59" s="2" t="inlineStr">
        <is>
          <t>A - Hot</t>
        </is>
      </c>
      <c r="P59" t="inlineStr">
        <is>
          <t>Tier 1 - C-Suite/Founder</t>
        </is>
      </c>
      <c r="Q59" t="inlineStr">
        <is>
          <t>C-Suite/Founder / Ops/Tech/Finance/Commercial</t>
        </is>
      </c>
      <c r="R59" t="inlineStr"/>
      <c r="S59" s="3" t="inlineStr">
        <is>
          <t>Hi Abhijit, your work as Assistant Vice President Production at Garware Technical Fibres Limited caught my eye. We build small AI use cases that sit on top of existing ERPs — think fewer stockouts and far less manual reconciliation. Would be glad to connect.</t>
        </is>
      </c>
      <c r="T59" s="3" t="inlineStr">
        <is>
          <t>Appreciate the connect, Abhijit. One idea for Garware Technical Fibres Limited: production scheduling and order-to-dispatch tracking layered on your ERP. It runs alongside your current ERP, so there's no migration risk — just one contained pilot. Happy to share how similar teams structure it.</t>
        </is>
      </c>
      <c r="U59" s="3" t="inlineStr">
        <is>
          <t>Last note from me, Abhijit — timing is everything with these projects. If an AI-on-ERP pilot becomes relevant at Garware Technical Fibres Limited later, my line's open. Wishing you a strong quarter.</t>
        </is>
      </c>
      <c r="V59" t="inlineStr">
        <is>
          <t>Delivery-date slippage at Garware Technical Fibres Limited?</t>
        </is>
      </c>
      <c r="W59" s="3" t="inlineStr">
        <is>
          <t>Hi Abhijit,
As Assistant Vice President Production at Garware Technical Fibres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Garware Technical Fibres Limited?
Best,
{{SENDER_NAME}}
{{SENDER_EMAIL}} | Book directly: {{CALENDLY_URL}}
P.S. If this isn't relevant, reply "no thanks" and I won't follow up again.</t>
        </is>
      </c>
      <c r="X59" t="inlineStr">
        <is>
          <t>Abhijit — the 3-week pilot version</t>
        </is>
      </c>
      <c r="Y59" s="3" t="inlineStr">
        <is>
          <t>Hi Abhijit,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59" t="inlineStr">
        <is>
          <t>Last note — AI on ERP at Garware Technical Fibres Limited</t>
        </is>
      </c>
      <c r="AA59" s="3" t="inlineStr">
        <is>
          <t>Hi Abhijit,
I'll close the loop here — inbox zero is sacred.
If delivery-date slippage and yarn/greige inventory pile-ups becomes a priority at Garware Technical Fibres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59" t="inlineStr">
        <is>
          <t>Draft</t>
        </is>
      </c>
      <c r="AC59" t="n">
        <v>0</v>
      </c>
      <c r="AD59" t="inlineStr"/>
      <c r="AE59" t="inlineStr"/>
      <c r="AF59" t="inlineStr"/>
    </row>
    <row r="60">
      <c r="A60" t="inlineStr">
        <is>
          <t>Rajiv</t>
        </is>
      </c>
      <c r="B60" t="inlineStr">
        <is>
          <t>Ps</t>
        </is>
      </c>
      <c r="C60" t="inlineStr">
        <is>
          <t>Assistant Vice President Operations and Merchandising</t>
        </is>
      </c>
      <c r="D60" t="inlineStr">
        <is>
          <t>Siyaram Silk Mills Ltd.</t>
        </is>
      </c>
      <c r="E60" t="inlineStr">
        <is>
          <t>rajiv.ps@siyaram.com</t>
        </is>
      </c>
      <c r="F60" t="n">
        <v>2800</v>
      </c>
      <c r="G60" t="inlineStr">
        <is>
          <t>textiles</t>
        </is>
      </c>
      <c r="H60" t="inlineStr">
        <is>
          <t>http://www.linkedin.com/in/rajiv-p-s-388548191</t>
        </is>
      </c>
      <c r="I60" t="inlineStr">
        <is>
          <t>https://siyaram.com</t>
        </is>
      </c>
      <c r="J60" t="inlineStr">
        <is>
          <t>Mumbai</t>
        </is>
      </c>
      <c r="K60" t="inlineStr">
        <is>
          <t>Maharashtra</t>
        </is>
      </c>
      <c r="L60" t="inlineStr">
        <is>
          <t>India</t>
        </is>
      </c>
      <c r="M60" t="n">
        <v>262214000</v>
      </c>
      <c r="N60" s="2" t="n">
        <v>91</v>
      </c>
      <c r="O60" s="2" t="inlineStr">
        <is>
          <t>A - Hot</t>
        </is>
      </c>
      <c r="P60" t="inlineStr">
        <is>
          <t>Tier 1 - C-Suite/Founder</t>
        </is>
      </c>
      <c r="Q60" t="inlineStr">
        <is>
          <t>C-Suite/Founder / Ops/Tech/Finance/Commercial</t>
        </is>
      </c>
      <c r="R60" t="inlineStr"/>
      <c r="S60" s="3" t="inlineStr">
        <is>
          <t>Hi Rajiv, we help teams like Siyaram Silk Mills Ltd.'s tackle delivery-date slippage and yarn/greige inventory pile-ups with AI add-ons to their existing ERP — no replatforming. Keen to connect and swap notes.</t>
        </is>
      </c>
      <c r="T60" s="3" t="inlineStr">
        <is>
          <t>Appreciate the connect, Rajiv. One idea for Siyaram Silk Mills Ltd.: production scheduling and order-to-dispatch tracking layered on your ERP. It runs alongside your current ERP, so there's no migration risk — just one contained pilot. Happy to share how similar teams structure it.</t>
        </is>
      </c>
      <c r="U60" s="3" t="inlineStr">
        <is>
          <t>Rajiv, I'll leave this here rather than keep nudging — if delivery-date slippage and yarn/greige inventory pile-ups ever climbs the priority list at Siyaram Silk Mills Ltd., a 15-minute call is all it takes to see if there's a fit. Either way, good luck this quarter.</t>
        </is>
      </c>
      <c r="V60" t="inlineStr">
        <is>
          <t>AI on top of Siyaram Silk Mills Ltd.'s ERP — one small use case</t>
        </is>
      </c>
      <c r="W60" s="3" t="inlineStr">
        <is>
          <t>Hi Rajiv,
As Assistant Vice President Operations and Merchandising at Siyaram Silk Mills Ltd.,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Siyaram Silk Mills Ltd.?
Best,
{{SENDER_NAME}}
{{SENDER_EMAIL}} | Book directly: {{CALENDLY_URL}}
P.S. If this isn't relevant, reply "no thanks" and I won't follow up again.</t>
        </is>
      </c>
      <c r="X60" t="inlineStr">
        <is>
          <t>How teams like Siyaram Silk Mills Ltd. start with AI on ERP</t>
        </is>
      </c>
      <c r="Y60" s="3" t="inlineStr">
        <is>
          <t>Hi Rajiv,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60" t="inlineStr">
        <is>
          <t>Should I stay or should I go, Rajiv?</t>
        </is>
      </c>
      <c r="AA60" s="3" t="inlineStr">
        <is>
          <t>Hi Rajiv,
I'll close the loop here — inbox zero is sacred.
If delivery-date slippage and yarn/greige inventory pile-ups becomes a priority at Siyaram Silk Mills Ltd.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60" t="inlineStr">
        <is>
          <t>Draft</t>
        </is>
      </c>
      <c r="AC60" t="n">
        <v>0</v>
      </c>
      <c r="AD60" t="inlineStr"/>
      <c r="AE60" t="inlineStr"/>
      <c r="AF60" t="inlineStr"/>
    </row>
    <row r="61">
      <c r="A61" t="inlineStr">
        <is>
          <t>Vivek</t>
        </is>
      </c>
      <c r="B61" t="inlineStr">
        <is>
          <t>Deshpande</t>
        </is>
      </c>
      <c r="C61" t="inlineStr">
        <is>
          <t>Associate Vice President Operations</t>
        </is>
      </c>
      <c r="D61" t="inlineStr">
        <is>
          <t>Garware Technical Fibres Limited</t>
        </is>
      </c>
      <c r="E61" t="inlineStr">
        <is>
          <t>vdeshpande@garwarefibres.com</t>
        </is>
      </c>
      <c r="F61" t="n">
        <v>1200</v>
      </c>
      <c r="G61" t="inlineStr">
        <is>
          <t>textiles</t>
        </is>
      </c>
      <c r="H61" t="inlineStr">
        <is>
          <t>http://www.linkedin.com/in/vivek-deshpande-4b643325</t>
        </is>
      </c>
      <c r="I61" t="inlineStr">
        <is>
          <t>https://garwarefibres.com</t>
        </is>
      </c>
      <c r="J61" t="inlineStr">
        <is>
          <t>Wai</t>
        </is>
      </c>
      <c r="K61" t="inlineStr">
        <is>
          <t>Maharashtra</t>
        </is>
      </c>
      <c r="L61" t="inlineStr">
        <is>
          <t>India</t>
        </is>
      </c>
      <c r="M61" t="n">
        <v>182142000</v>
      </c>
      <c r="N61" s="2" t="n">
        <v>91</v>
      </c>
      <c r="O61" s="2" t="inlineStr">
        <is>
          <t>A - Hot</t>
        </is>
      </c>
      <c r="P61" t="inlineStr">
        <is>
          <t>Tier 1 - C-Suite/Founder</t>
        </is>
      </c>
      <c r="Q61" t="inlineStr">
        <is>
          <t>C-Suite/Founder / Ops/Tech/Finance/Commercial</t>
        </is>
      </c>
      <c r="R61" t="inlineStr"/>
      <c r="S61" s="3" t="inlineStr">
        <is>
          <t>Hi Vivek, your work as Associate Vice President Operations at Garware Technical Fibres Limited caught my eye. We build small AI use cases that sit on top of existing ERPs — think fewer stockouts and far less manual reconciliation. Would be glad to connect.</t>
        </is>
      </c>
      <c r="T61" s="3" t="inlineStr">
        <is>
          <t>Thanks for connecting, Vivek. Quick context: we ship production scheduling and order-to-dispatch tracking layered on your ERP. Teams typically start with one narrow use case and see results in weeks, not an ERP-project timeline. Worth a short look for Garware Technical Fibres Limited?</t>
        </is>
      </c>
      <c r="U61" s="3" t="inlineStr">
        <is>
          <t>Vivek, I'll leave this here rather than keep nudging — if delivery-date slippage and yarn/greige inventory pile-ups ever climbs the priority list at Garware Technical Fibres Limited, a 15-minute call is all it takes to see if there's a fit. Either way, good luck this quarter.</t>
        </is>
      </c>
      <c r="V61" t="inlineStr">
        <is>
          <t>AI on top of Garware Technical Fibres Limited's ERP — one small use case</t>
        </is>
      </c>
      <c r="W61" s="3" t="inlineStr">
        <is>
          <t>Hi Vivek,
As Associate Vice President Operations at Garware Technical Fibres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Garware Technical Fibres Limited?
Best,
{{SENDER_NAME}}
{{SENDER_EMAIL}} | Book directly: {{CALENDLY_URL}}
P.S. If this isn't relevant, reply "no thanks" and I won't follow up again.</t>
        </is>
      </c>
      <c r="X61" t="inlineStr">
        <is>
          <t>Vivek — the 3-week pilot version</t>
        </is>
      </c>
      <c r="Y61" s="3" t="inlineStr">
        <is>
          <t>Hi Vivek,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61" t="inlineStr">
        <is>
          <t>Closing the loop, Vivek</t>
        </is>
      </c>
      <c r="AA61" s="3" t="inlineStr">
        <is>
          <t>Hi Vivek,
I'll close the loop here — inbox zero is sacred.
If delivery-date slippage and yarn/greige inventory pile-ups becomes a priority at Garware Technical Fibres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61" t="inlineStr">
        <is>
          <t>Draft</t>
        </is>
      </c>
      <c r="AC61" t="n">
        <v>0</v>
      </c>
      <c r="AD61" t="inlineStr"/>
      <c r="AE61" t="inlineStr"/>
      <c r="AF61" t="inlineStr"/>
    </row>
    <row r="62">
      <c r="A62" t="inlineStr">
        <is>
          <t>Vishal</t>
        </is>
      </c>
      <c r="B62" t="inlineStr">
        <is>
          <t>Raigagla</t>
        </is>
      </c>
      <c r="C62" t="inlineStr">
        <is>
          <t>Finance Controller, Head FP\&amp;A and CFO- Innerwear, Sleepwear and Fragrances</t>
        </is>
      </c>
      <c r="D62" t="inlineStr">
        <is>
          <t>Raymond Lifestyle Limited</t>
        </is>
      </c>
      <c r="E62" t="inlineStr">
        <is>
          <t>vishal.raigagla@raymond.in</t>
        </is>
      </c>
      <c r="F62" t="n">
        <v>710</v>
      </c>
      <c r="G62" t="inlineStr">
        <is>
          <t>textiles</t>
        </is>
      </c>
      <c r="H62" t="inlineStr">
        <is>
          <t>http://www.linkedin.com/in/vishal-raigagla-83969917</t>
        </is>
      </c>
      <c r="I62" t="inlineStr">
        <is>
          <t>http://www.raymondlifestyle.com</t>
        </is>
      </c>
      <c r="J62" t="inlineStr">
        <is>
          <t>Thane</t>
        </is>
      </c>
      <c r="K62" t="inlineStr">
        <is>
          <t>Maharashtra</t>
        </is>
      </c>
      <c r="L62" t="inlineStr">
        <is>
          <t>India</t>
        </is>
      </c>
      <c r="M62" t="n">
        <v>723047000</v>
      </c>
      <c r="N62" s="2" t="n">
        <v>91</v>
      </c>
      <c r="O62" s="2" t="inlineStr">
        <is>
          <t>A - Hot</t>
        </is>
      </c>
      <c r="P62" t="inlineStr">
        <is>
          <t>Tier 1 - C-Suite/Founder</t>
        </is>
      </c>
      <c r="Q62" t="inlineStr">
        <is>
          <t>C-Suite/Founder / Ops/Tech/Finance/Commercial</t>
        </is>
      </c>
      <c r="R62" t="inlineStr"/>
      <c r="S62" s="3" t="inlineStr">
        <is>
          <t>Hi Vishal, your work as Finance Controller, Head FP\&amp;A and CFO- Innerwear, Sleepwear and Fragrances at Raymond Lifestyle Limited caught my eye. We build small AI use cases that sit on top of existing ERPs — think recovering margin leakage and freeing working capital trapped in inventory. Would...</t>
        </is>
      </c>
      <c r="T62" s="3" t="inlineStr">
        <is>
          <t>Appreciate the connect, Vishal. One idea for Raymond Lifestyle Limited: production scheduling and order-to-dispatch tracking layered on your ERP. It runs alongside your current ERP, so there's no migration risk — just one contained pilot. Happy to share how similar teams structure it.</t>
        </is>
      </c>
      <c r="U62" s="3" t="inlineStr">
        <is>
          <t>Last note from me, Vishal — timing is everything with these projects. If an AI-on-ERP pilot becomes relevant at Raymond Lifestyle Limited later, my line's open. Wishing you a strong quarter.</t>
        </is>
      </c>
      <c r="V62" t="inlineStr">
        <is>
          <t>Vishal, a faster fix for delivery-date slippage</t>
        </is>
      </c>
      <c r="W62" s="3" t="inlineStr">
        <is>
          <t>Hi Vishal,
As Finance Controller, Head FP\&amp;A and CFO- Innerwear, Sleepwear and Fragrances at Raymond Lifestyle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Raymond Lifestyle Limited?
Best,
{{SENDER_NAME}}
{{SENDER_EMAIL}} | Book directly: {{CALENDLY_URL}}
P.S. If this isn't relevant, reply "no thanks" and I won't follow up again.</t>
        </is>
      </c>
      <c r="X62" t="inlineStr">
        <is>
          <t>Vishal — the 3-week pilot version</t>
        </is>
      </c>
      <c r="Y62" s="3" t="inlineStr">
        <is>
          <t>Hi Vishal,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62" t="inlineStr">
        <is>
          <t>Closing the loop, Vishal</t>
        </is>
      </c>
      <c r="AA62" s="3" t="inlineStr">
        <is>
          <t>Hi Vishal,
I'll close the loop here — inbox zero is sacred.
If delivery-date slippage and yarn/greige inventory pile-ups becomes a priority at Raymond Lifestyle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62" t="inlineStr">
        <is>
          <t>Draft</t>
        </is>
      </c>
      <c r="AC62" t="n">
        <v>0</v>
      </c>
      <c r="AD62" t="inlineStr"/>
      <c r="AE62" t="inlineStr"/>
      <c r="AF62" t="inlineStr"/>
    </row>
    <row r="63">
      <c r="A63" t="inlineStr">
        <is>
          <t>Anurag</t>
        </is>
      </c>
      <c r="B63" t="inlineStr">
        <is>
          <t>Sharma</t>
        </is>
      </c>
      <c r="C63" t="inlineStr">
        <is>
          <t>Chief Information Security Officer</t>
        </is>
      </c>
      <c r="D63" t="inlineStr">
        <is>
          <t>BHILOSA INDUSTRIES PRIVATE LIMITED</t>
        </is>
      </c>
      <c r="E63" t="inlineStr">
        <is>
          <t>anurag.s@bhilosa.com</t>
        </is>
      </c>
      <c r="F63" t="n">
        <v>1700</v>
      </c>
      <c r="G63" t="inlineStr">
        <is>
          <t>textiles</t>
        </is>
      </c>
      <c r="H63" t="inlineStr">
        <is>
          <t>http://www.linkedin.com/in/anurag-sharma-42986422</t>
        </is>
      </c>
      <c r="I63" t="inlineStr">
        <is>
          <t>https://bhilosa.com</t>
        </is>
      </c>
      <c r="J63" t="inlineStr">
        <is>
          <t>Mumbai</t>
        </is>
      </c>
      <c r="K63" t="inlineStr">
        <is>
          <t>Maharashtra</t>
        </is>
      </c>
      <c r="L63" t="inlineStr">
        <is>
          <t>India</t>
        </is>
      </c>
      <c r="M63" t="n">
        <v>979500000</v>
      </c>
      <c r="N63" s="2" t="n">
        <v>91</v>
      </c>
      <c r="O63" s="2" t="inlineStr">
        <is>
          <t>A - Hot</t>
        </is>
      </c>
      <c r="P63" t="inlineStr">
        <is>
          <t>Tier 1 - C-Suite/Founder</t>
        </is>
      </c>
      <c r="Q63" t="inlineStr">
        <is>
          <t>C-Suite/Founder / Ops/Tech/Finance/Commercial</t>
        </is>
      </c>
      <c r="R63" t="inlineStr"/>
      <c r="S63" s="3" t="inlineStr">
        <is>
          <t>Hi Anurag, I work with textiles leaders on adding AI capability without any rip-and-replace of the current ERP — lightweight AI that plugs into the ERP you already run. Given your seat at BHILOSA INDUSTRIES PRIVATE LIMITED, thought it was worth connecting.</t>
        </is>
      </c>
      <c r="T63" s="3" t="inlineStr">
        <is>
          <t>Thanks for connecting, Anurag. Quick context: we ship production scheduling and order-to-dispatch tracking layered on your ERP. Teams typically start with one narrow use case and see results in weeks, not an ERP-project timeline. Worth a short look for BHILOSA INDUSTRIES PRIVATE LIMITED?</t>
        </is>
      </c>
      <c r="U63" s="3" t="inlineStr">
        <is>
          <t>Last note from me, Anurag — timing is everything with these projects. If an AI-on-ERP pilot becomes relevant at BHILOSA INDUSTRIES PRIVATE LIMITED later, my line's open. Wishing you a strong quarter.</t>
        </is>
      </c>
      <c r="V63" t="inlineStr">
        <is>
          <t>AI on top of BHILOSA INDUSTRIES PRIVATE LIMITED's ERP — one small use case</t>
        </is>
      </c>
      <c r="W63" s="3" t="inlineStr">
        <is>
          <t>Hi Anurag,
As Chief Information Security Officer at BHILOSA INDUSTRIES PRIVATE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BHILOSA INDUSTRIES PRIVATE LIMITED?
Best,
{{SENDER_NAME}}
{{SENDER_EMAIL}} | Book directly: {{CALENDLY_URL}}
P.S. If this isn't relevant, reply "no thanks" and I won't follow up again.</t>
        </is>
      </c>
      <c r="X63" t="inlineStr">
        <is>
          <t>Anurag — the 3-week pilot version</t>
        </is>
      </c>
      <c r="Y63" s="3" t="inlineStr">
        <is>
          <t>Hi Anurag,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63" t="inlineStr">
        <is>
          <t>Closing the loop, Anurag</t>
        </is>
      </c>
      <c r="AA63" s="3" t="inlineStr">
        <is>
          <t>Hi Anurag,
I'll close the loop here — inbox zero is sacred.
If delivery-date slippage and yarn/greige inventory pile-ups becomes a priority at BHILOSA INDUSTRIES PRIVATE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63" t="inlineStr">
        <is>
          <t>Draft</t>
        </is>
      </c>
      <c r="AC63" t="n">
        <v>0</v>
      </c>
      <c r="AD63" t="inlineStr"/>
      <c r="AE63" t="inlineStr"/>
      <c r="AF63" t="inlineStr"/>
    </row>
    <row r="64">
      <c r="A64" t="inlineStr">
        <is>
          <t>Srikanth</t>
        </is>
      </c>
      <c r="B64" t="inlineStr">
        <is>
          <t>Vetcha</t>
        </is>
      </c>
      <c r="C64" t="inlineStr">
        <is>
          <t>Chief Financial Officer</t>
        </is>
      </c>
      <c r="D64" t="inlineStr">
        <is>
          <t>NUZIVEEDU SEEDS LIMITED</t>
        </is>
      </c>
      <c r="E64" t="inlineStr">
        <is>
          <t>srikanth.vetcha@nuziveeduseeds.com</t>
        </is>
      </c>
      <c r="F64" t="n">
        <v>1600</v>
      </c>
      <c r="G64" t="inlineStr">
        <is>
          <t>farming</t>
        </is>
      </c>
      <c r="H64" t="inlineStr">
        <is>
          <t>http://www.linkedin.com/in/srikanth-vetcha-8a240b29</t>
        </is>
      </c>
      <c r="I64" t="inlineStr">
        <is>
          <t>https://nuziveeduseeds.com</t>
        </is>
      </c>
      <c r="J64" t="inlineStr">
        <is>
          <t>Hyderabad</t>
        </is>
      </c>
      <c r="K64" t="inlineStr">
        <is>
          <t>Telangana</t>
        </is>
      </c>
      <c r="L64" t="inlineStr">
        <is>
          <t>India</t>
        </is>
      </c>
      <c r="M64" t="n">
        <v>1312000000</v>
      </c>
      <c r="N64" s="2" t="n">
        <v>91</v>
      </c>
      <c r="O64" s="2" t="inlineStr">
        <is>
          <t>A - Hot</t>
        </is>
      </c>
      <c r="P64" t="inlineStr">
        <is>
          <t>Tier 1 - C-Suite/Founder</t>
        </is>
      </c>
      <c r="Q64" t="inlineStr">
        <is>
          <t>C-Suite/Founder / Ops/Tech/Finance/Commercial</t>
        </is>
      </c>
      <c r="R64" t="inlineStr"/>
      <c r="S64" s="3" t="inlineStr">
        <is>
          <t>Hi Srikanth, your work as Chief Financial Officer at NUZIVEEDU SEEDS LIMITED caught my eye. We build small AI use cases that sit on top of existing ERPs — think recovering margin leakage and freeing working capital trapped in inventory. Would be glad to connect.</t>
        </is>
      </c>
      <c r="T64" s="3" t="inlineStr">
        <is>
          <t>Appreciate the connect, Srikanth. One idea for NUZIVEEDU SEEDS LIMITED: procurement price forecasting and supply planning connected to your ERP. It runs alongside your current ERP, so there's no migration risk — just one contained pilot. Happy to share how similar teams structure it.</t>
        </is>
      </c>
      <c r="U64" s="3" t="inlineStr">
        <is>
          <t>Srikanth, closing the loop so I'm not another unread ping. If it's useful, I can send a one-pager on procurement price forecasting and supply planning connected to your ERP for NUZIVEEDU SEEDS LIMITED — zero meetings needed. Just say the word.</t>
        </is>
      </c>
      <c r="V64" t="inlineStr">
        <is>
          <t>Volatile procurement prices at NUZIVEEDU SEEDS LIMITED?</t>
        </is>
      </c>
      <c r="W64" s="3" t="inlineStr">
        <is>
          <t>Hi Srikanth,
As Chief Financial Officer at NUZIVEEDU SEEDS LIMITED,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NUZIVEEDU SEEDS LIMITED?
Best,
{{SENDER_NAME}}
{{SENDER_EMAIL}} | Book directly: {{CALENDLY_URL}}
P.S. If this isn't relevant, reply "no thanks" and I won't follow up again.</t>
        </is>
      </c>
      <c r="X64" t="inlineStr">
        <is>
          <t>Srikanth — the 3-week pilot version</t>
        </is>
      </c>
      <c r="Y64" s="3" t="inlineStr">
        <is>
          <t>Hi Srikanth,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64" t="inlineStr">
        <is>
          <t>Should I stay or should I go, Srikanth?</t>
        </is>
      </c>
      <c r="AA64" s="3" t="inlineStr">
        <is>
          <t>Hi Srikanth,
I'll close the loop here — inbox zero is sacred.
If volatile procurement prices and manual arrival planning becomes a priority at NUZIVEEDU SEEDS LIMITED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64" t="inlineStr">
        <is>
          <t>Draft</t>
        </is>
      </c>
      <c r="AC64" t="n">
        <v>0</v>
      </c>
      <c r="AD64" t="inlineStr"/>
      <c r="AE64" t="inlineStr"/>
      <c r="AF64" t="inlineStr"/>
    </row>
    <row r="65">
      <c r="A65" t="inlineStr">
        <is>
          <t>Sunil</t>
        </is>
      </c>
      <c r="B65" t="inlineStr">
        <is>
          <t>Chitale</t>
        </is>
      </c>
      <c r="C65" t="inlineStr">
        <is>
          <t>Founder and Director</t>
        </is>
      </c>
      <c r="D65" t="inlineStr">
        <is>
          <t>Chitale Group</t>
        </is>
      </c>
      <c r="E65" t="inlineStr">
        <is>
          <t>sunil@chitale-family.com</t>
        </is>
      </c>
      <c r="F65" t="n">
        <v>170</v>
      </c>
      <c r="G65" t="inlineStr">
        <is>
          <t>food &amp; beverages</t>
        </is>
      </c>
      <c r="H65" t="inlineStr">
        <is>
          <t>http://www.linkedin.com/in/sunil-chitale-213715101</t>
        </is>
      </c>
      <c r="I65" t="inlineStr">
        <is>
          <t>https://chitalegroup.com</t>
        </is>
      </c>
      <c r="J65" t="inlineStr">
        <is>
          <t>Amravati</t>
        </is>
      </c>
      <c r="K65" t="inlineStr">
        <is>
          <t>Maharashtra</t>
        </is>
      </c>
      <c r="L65" t="inlineStr">
        <is>
          <t>India</t>
        </is>
      </c>
      <c r="M65" t="n">
        <v>133500000</v>
      </c>
      <c r="N65" s="2" t="n">
        <v>91</v>
      </c>
      <c r="O65" s="2" t="inlineStr">
        <is>
          <t>A - Hot</t>
        </is>
      </c>
      <c r="P65" t="inlineStr">
        <is>
          <t>Tier 1 - C-Suite/Founder</t>
        </is>
      </c>
      <c r="Q65" t="inlineStr">
        <is>
          <t>C-Suite/Founder / General management</t>
        </is>
      </c>
      <c r="R65" t="inlineStr"/>
      <c r="S65" s="3" t="inlineStr">
        <is>
          <t>Hi Sunil, I work with food &amp; beverages leaders on adding AI capability without any rip-and-replace of the current ERP — lightweight AI that plugs into the ERP you already run. Given your seat at Chitale Group, thought it was worth connecting.</t>
        </is>
      </c>
      <c r="T65" s="3" t="inlineStr">
        <is>
          <t>Appreciate the connect, Sunil. One idea for Chitale Group: expiry-aware replenishment and wastage prediction wired into your ERP. It runs alongside your current ERP, so there's no migration risk — just one contained pilot. Happy to share how similar teams structure it.</t>
        </is>
      </c>
      <c r="U65" s="3" t="inlineStr">
        <is>
          <t>Sunil, closing the loop so I'm not another unread ping. If it's useful, I can send a one-pager on expiry-aware replenishment and wastage prediction wired into your ERP for Chitale Group — zero meetings needed. Just say the word.</t>
        </is>
      </c>
      <c r="V65" t="inlineStr">
        <is>
          <t>AI on top of Chitale Group's ERP — one small use case</t>
        </is>
      </c>
      <c r="W65" s="3" t="inlineStr">
        <is>
          <t>Hi Sunil,
As Founder and Director at Chitale Group,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Chitale Group?
Best,
{{SENDER_NAME}}
{{SENDER_EMAIL}} | Book directly: {{CALENDLY_URL}}
P.S. If this isn't relevant, reply "no thanks" and I won't follow up again.</t>
        </is>
      </c>
      <c r="X65" t="inlineStr">
        <is>
          <t>Re: one small AI use case for Chitale Group</t>
        </is>
      </c>
      <c r="Y65" s="3" t="inlineStr">
        <is>
          <t>Hi Sunil,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65" t="inlineStr">
        <is>
          <t>Should I stay or should I go, Sunil?</t>
        </is>
      </c>
      <c r="AA65" s="3" t="inlineStr">
        <is>
          <t>Hi Sunil,
I'll close the loop here — inbox zero is sacred.
If near-expiry write-offs and distributor claim reconciliation becomes a priority at Chitale Group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65" t="inlineStr">
        <is>
          <t>Draft</t>
        </is>
      </c>
      <c r="AC65" t="n">
        <v>0</v>
      </c>
      <c r="AD65" t="inlineStr"/>
      <c r="AE65" t="inlineStr"/>
      <c r="AF65" t="inlineStr"/>
    </row>
    <row r="66">
      <c r="A66" t="inlineStr">
        <is>
          <t>Abhishek</t>
        </is>
      </c>
      <c r="B66" t="inlineStr">
        <is>
          <t>Patwa</t>
        </is>
      </c>
      <c r="C66" t="inlineStr">
        <is>
          <t>Chief Financial Officer</t>
        </is>
      </c>
      <c r="D66" t="inlineStr">
        <is>
          <t>AYM Syntex Limited</t>
        </is>
      </c>
      <c r="E66" t="inlineStr">
        <is>
          <t>abhishek\_patwa@aymgroup.com</t>
        </is>
      </c>
      <c r="F66" t="n">
        <v>1400</v>
      </c>
      <c r="G66" t="inlineStr">
        <is>
          <t>textiles</t>
        </is>
      </c>
      <c r="H66" t="inlineStr">
        <is>
          <t>http://www.linkedin.com/in/abhishek-patwa-7508951b</t>
        </is>
      </c>
      <c r="I66" t="inlineStr">
        <is>
          <t>https://aymsyntex.com</t>
        </is>
      </c>
      <c r="J66" t="inlineStr">
        <is>
          <t>Mumbai</t>
        </is>
      </c>
      <c r="K66" t="inlineStr">
        <is>
          <t>Maharashtra</t>
        </is>
      </c>
      <c r="L66" t="inlineStr">
        <is>
          <t>India</t>
        </is>
      </c>
      <c r="M66" t="n">
        <v>176146000</v>
      </c>
      <c r="N66" s="2" t="n">
        <v>91</v>
      </c>
      <c r="O66" s="2" t="inlineStr">
        <is>
          <t>A - Hot</t>
        </is>
      </c>
      <c r="P66" t="inlineStr">
        <is>
          <t>Tier 1 - C-Suite/Founder</t>
        </is>
      </c>
      <c r="Q66" t="inlineStr">
        <is>
          <t>C-Suite/Founder / Ops/Tech/Finance/Commercial</t>
        </is>
      </c>
      <c r="R66" t="inlineStr"/>
      <c r="S66" s="3" t="inlineStr">
        <is>
          <t>Hi Abhishek, I work with textiles leaders on recovering margin leakage and freeing working capital trapped in inventory — lightweight AI that plugs into the ERP you already run. Given your seat at AYM Syntex Limited, thought it was worth connecting.</t>
        </is>
      </c>
      <c r="T66" s="3" t="inlineStr">
        <is>
          <t>Glad to be connected, Abhishek. Most textiles teams we meet struggle with delivery-date slippage and yarn/greige inventory pile-ups. We fix exactly that with production scheduling and order-to-dispatch tracking layered on your ERP. Open to a 15-minute walkthrough?</t>
        </is>
      </c>
      <c r="U66" s="3" t="inlineStr">
        <is>
          <t>Last note from me, Abhishek — timing is everything with these projects. If an AI-on-ERP pilot becomes relevant at AYM Syntex Limited later, my line's open. Wishing you a strong quarter.</t>
        </is>
      </c>
      <c r="V66" t="inlineStr">
        <is>
          <t>Abhishek, a faster fix for delivery-date slippage</t>
        </is>
      </c>
      <c r="W66" s="3" t="inlineStr">
        <is>
          <t>Hi Abhishek,
As Chief Financial Officer at AYM Syntex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AYM Syntex Limited?
Best,
{{SENDER_NAME}}
{{SENDER_EMAIL}} | Book directly: {{CALENDLY_URL}}
P.S. If this isn't relevant, reply "no thanks" and I won't follow up again.</t>
        </is>
      </c>
      <c r="X66" t="inlineStr">
        <is>
          <t>Re: one small AI use case for AYM Syntex Limited</t>
        </is>
      </c>
      <c r="Y66" s="3" t="inlineStr">
        <is>
          <t>Hi Abhishek,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66" t="inlineStr">
        <is>
          <t>Last note — AI on ERP at AYM Syntex Limited</t>
        </is>
      </c>
      <c r="AA66" s="3" t="inlineStr">
        <is>
          <t>Hi Abhishek,
I'll close the loop here — inbox zero is sacred.
If delivery-date slippage and yarn/greige inventory pile-ups becomes a priority at AYM Syntex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66" t="inlineStr">
        <is>
          <t>Draft</t>
        </is>
      </c>
      <c r="AC66" t="n">
        <v>0</v>
      </c>
      <c r="AD66" t="inlineStr"/>
      <c r="AE66" t="inlineStr"/>
      <c r="AF66" t="inlineStr"/>
    </row>
    <row r="67">
      <c r="A67" t="inlineStr">
        <is>
          <t>Jaison</t>
        </is>
      </c>
      <c r="B67" t="inlineStr">
        <is>
          <t>Shah</t>
        </is>
      </c>
      <c r="C67" t="inlineStr">
        <is>
          <t>Vice President, Acquisitions &amp; Development</t>
        </is>
      </c>
      <c r="D67" t="inlineStr">
        <is>
          <t>Hi-Tech Group</t>
        </is>
      </c>
      <c r="E67" t="inlineStr">
        <is>
          <t>jaison@hitechhospitality.com</t>
        </is>
      </c>
      <c r="F67" t="n">
        <v>170</v>
      </c>
      <c r="G67" t="inlineStr">
        <is>
          <t>retail</t>
        </is>
      </c>
      <c r="H67" t="inlineStr">
        <is>
          <t>http://www.linkedin.com/in/jaison-shah</t>
        </is>
      </c>
      <c r="I67" t="inlineStr">
        <is>
          <t>https://hitechgroupindia.com</t>
        </is>
      </c>
      <c r="J67" t="inlineStr">
        <is>
          <t>Plano</t>
        </is>
      </c>
      <c r="K67" t="inlineStr">
        <is>
          <t>Texas</t>
        </is>
      </c>
      <c r="L67" t="inlineStr">
        <is>
          <t>United States</t>
        </is>
      </c>
      <c r="M67" t="n">
        <v>106000000</v>
      </c>
      <c r="N67" s="2" t="n">
        <v>91</v>
      </c>
      <c r="O67" s="2" t="inlineStr">
        <is>
          <t>A - Hot</t>
        </is>
      </c>
      <c r="P67" t="inlineStr">
        <is>
          <t>Tier 1 - C-Suite/Founder</t>
        </is>
      </c>
      <c r="Q67" t="inlineStr">
        <is>
          <t>C-Suite/Founder / General management</t>
        </is>
      </c>
      <c r="R67" t="inlineStr"/>
      <c r="S67" s="3" t="inlineStr">
        <is>
          <t>Hi Jaison, your work as Vice President, Acquisitions &amp; Development at Hi-Tech Group caught my eye. We build small AI use cases that sit on top of existing ERPs — think measurable margin and working-capital gains within a quarter. Would be glad to connect.</t>
        </is>
      </c>
      <c r="T67" s="3" t="inlineStr">
        <is>
          <t>Thanks for connecting, Jaison. Quick context: we ship SKU-level demand forecasting and auto-replenishment on top of your ERP. Teams typically start with one narrow use case and see results in weeks, not an ERP-project timeline. Worth a short look for Hi-Tech Group?</t>
        </is>
      </c>
      <c r="U67" s="3" t="inlineStr">
        <is>
          <t>Jaison, I'll leave this here rather than keep nudging — if stockouts and excess inventory that the ERP reports only after the fact ever climbs the priority list at Hi-Tech Group, a 15-minute call is all it takes to see if there's a fit. Either way, good luck this quarter.</t>
        </is>
      </c>
      <c r="V67" t="inlineStr">
        <is>
          <t>Stockouts at Hi-Tech Group?</t>
        </is>
      </c>
      <c r="W67" s="3" t="inlineStr">
        <is>
          <t>Hi Jaison,
As Vice President, Acquisitions &amp; Development at Hi-Tech Group,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Hi-Tech Group?
Best,
{{SENDER_NAME}}
{{SENDER_EMAIL}} | Book directly: {{CALENDLY_URL}}
P.S. If this isn't relevant, reply "no thanks" and I won't follow up again.</t>
        </is>
      </c>
      <c r="X67" t="inlineStr">
        <is>
          <t>Jaison — the 3-week pilot version</t>
        </is>
      </c>
      <c r="Y67" s="3" t="inlineStr">
        <is>
          <t>Hi Jaison,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67" t="inlineStr">
        <is>
          <t>Should I stay or should I go, Jaison?</t>
        </is>
      </c>
      <c r="AA67" s="3" t="inlineStr">
        <is>
          <t>Hi Jaison,
I'll close the loop here — inbox zero is sacred.
If stockouts and excess inventory that the ERP reports only after the fact becomes a priority at Hi-Tech Group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67" t="inlineStr">
        <is>
          <t>Draft</t>
        </is>
      </c>
      <c r="AC67" t="n">
        <v>0</v>
      </c>
      <c r="AD67" t="inlineStr"/>
      <c r="AE67" t="inlineStr"/>
      <c r="AF67" t="inlineStr"/>
    </row>
    <row r="68">
      <c r="A68" t="inlineStr">
        <is>
          <t>Adrit</t>
        </is>
      </c>
      <c r="B68" t="inlineStr">
        <is>
          <t>Mishra</t>
        </is>
      </c>
      <c r="C68" t="inlineStr">
        <is>
          <t>Chief Operating Officer</t>
        </is>
      </c>
      <c r="D68" t="inlineStr">
        <is>
          <t>Starbucks India</t>
        </is>
      </c>
      <c r="E68" t="inlineStr">
        <is>
          <t>adrit.mishra@tatastarbucks.com</t>
        </is>
      </c>
      <c r="F68" t="n">
        <v>2800</v>
      </c>
      <c r="G68" t="inlineStr">
        <is>
          <t>retail</t>
        </is>
      </c>
      <c r="H68" t="inlineStr">
        <is>
          <t>http://www.linkedin.com/in/adrit-mishra-2a32b815</t>
        </is>
      </c>
      <c r="I68" t="inlineStr">
        <is>
          <t>https://starbucks.in</t>
        </is>
      </c>
      <c r="J68" t="inlineStr">
        <is>
          <t>Mumbai</t>
        </is>
      </c>
      <c r="K68" t="inlineStr">
        <is>
          <t>Maharashtra</t>
        </is>
      </c>
      <c r="L68" t="inlineStr">
        <is>
          <t>India</t>
        </is>
      </c>
      <c r="M68" t="n">
        <v>150000000</v>
      </c>
      <c r="N68" s="2" t="n">
        <v>91</v>
      </c>
      <c r="O68" s="2" t="inlineStr">
        <is>
          <t>A - Hot</t>
        </is>
      </c>
      <c r="P68" t="inlineStr">
        <is>
          <t>Tier 1 - C-Suite/Founder</t>
        </is>
      </c>
      <c r="Q68" t="inlineStr">
        <is>
          <t>C-Suite/Founder / General</t>
        </is>
      </c>
      <c r="R68" t="inlineStr"/>
      <c r="S68" s="3" t="inlineStr">
        <is>
          <t>Hi Adrit, we help teams like Starbucks India's tackle stockouts and excess inventory that the ERP reports only after the fact with AI add-ons to their existing ERP — no replatforming. Keen to connect and swap notes.</t>
        </is>
      </c>
      <c r="T68" s="3" t="inlineStr">
        <is>
          <t>Thanks for connecting, Adrit. Quick context: we ship SKU-level demand forecasting and auto-replenishment on top of your ERP. Teams typically start with one narrow use case and see results in weeks, not an ERP-project timeline. Worth a short look for Starbucks India?</t>
        </is>
      </c>
      <c r="U68" s="3" t="inlineStr">
        <is>
          <t>Last note from me, Adrit — timing is everything with these projects. If an AI-on-ERP pilot becomes relevant at Starbucks India later, my line's open. Wishing you a strong quarter.</t>
        </is>
      </c>
      <c r="V68" t="inlineStr">
        <is>
          <t>Stockouts at Starbucks India?</t>
        </is>
      </c>
      <c r="W68" s="3" t="inlineStr">
        <is>
          <t>Hi Adrit,
As Chief Operating Officer at Starbucks India,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Starbucks India?
Best,
{{SENDER_NAME}}
{{SENDER_EMAIL}} | Book directly: {{CALENDLY_URL}}
P.S. If this isn't relevant, reply "no thanks" and I won't follow up again.</t>
        </is>
      </c>
      <c r="X68" t="inlineStr">
        <is>
          <t>Re: one small AI use case for Starbucks India</t>
        </is>
      </c>
      <c r="Y68" s="3" t="inlineStr">
        <is>
          <t>Hi Adrit,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68" t="inlineStr">
        <is>
          <t>Last note — AI on ERP at Starbucks India</t>
        </is>
      </c>
      <c r="AA68" s="3" t="inlineStr">
        <is>
          <t>Hi Adrit,
I'll close the loop here — inbox zero is sacred.
If stockouts and excess inventory that the ERP reports only after the fact becomes a priority at Starbucks India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68" t="inlineStr">
        <is>
          <t>Draft</t>
        </is>
      </c>
      <c r="AC68" t="n">
        <v>0</v>
      </c>
      <c r="AD68" t="inlineStr"/>
      <c r="AE68" t="inlineStr"/>
      <c r="AF68" t="inlineStr"/>
    </row>
    <row r="69">
      <c r="A69" t="inlineStr">
        <is>
          <t>Subodh</t>
        </is>
      </c>
      <c r="B69" t="inlineStr">
        <is>
          <t>Sahu</t>
        </is>
      </c>
      <c r="C69" t="inlineStr">
        <is>
          <t>Vice President Operations</t>
        </is>
      </c>
      <c r="D69" t="inlineStr">
        <is>
          <t>Garden Vareli</t>
        </is>
      </c>
      <c r="E69" t="inlineStr">
        <is>
          <t>subodh.sahu@gardenvareli.com</t>
        </is>
      </c>
      <c r="F69" t="n">
        <v>800</v>
      </c>
      <c r="G69" t="inlineStr">
        <is>
          <t>textiles</t>
        </is>
      </c>
      <c r="H69" t="inlineStr">
        <is>
          <t>http://www.linkedin.com/in/subodh-sahu-245a3b24</t>
        </is>
      </c>
      <c r="I69" t="inlineStr">
        <is>
          <t>https://gardenvareli.com</t>
        </is>
      </c>
      <c r="J69" t="inlineStr">
        <is>
          <t>Surat</t>
        </is>
      </c>
      <c r="K69" t="inlineStr">
        <is>
          <t>Gujarat</t>
        </is>
      </c>
      <c r="L69" t="inlineStr">
        <is>
          <t>India</t>
        </is>
      </c>
      <c r="M69" t="n">
        <v>479672000</v>
      </c>
      <c r="N69" s="2" t="n">
        <v>91</v>
      </c>
      <c r="O69" s="2" t="inlineStr">
        <is>
          <t>A - Hot</t>
        </is>
      </c>
      <c r="P69" t="inlineStr">
        <is>
          <t>Tier 1 - C-Suite/Founder</t>
        </is>
      </c>
      <c r="Q69" t="inlineStr">
        <is>
          <t>C-Suite/Founder / Ops/Tech/Finance/Commercial</t>
        </is>
      </c>
      <c r="R69" t="inlineStr"/>
      <c r="S69" s="3" t="inlineStr">
        <is>
          <t>Hi Subodh, we help teams like Garden Vareli's tackle delivery-date slippage and yarn/greige inventory pile-ups with AI add-ons to their existing ERP — no replatforming. Keen to connect and swap notes.</t>
        </is>
      </c>
      <c r="T69" s="3" t="inlineStr">
        <is>
          <t>Thanks for connecting, Subodh. Quick context: we ship production scheduling and order-to-dispatch tracking layered on your ERP. Teams typically start with one narrow use case and see results in weeks, not an ERP-project timeline. Worth a short look for Garden Vareli?</t>
        </is>
      </c>
      <c r="U69" s="3" t="inlineStr">
        <is>
          <t>Subodh, closing the loop so I'm not another unread ping. If it's useful, I can send a one-pager on production scheduling and order-to-dispatch tracking layered on your ERP for Garden Vareli — zero meetings needed. Just say the word.</t>
        </is>
      </c>
      <c r="V69" t="inlineStr">
        <is>
          <t>Subodh, a faster fix for delivery-date slippage</t>
        </is>
      </c>
      <c r="W69" s="3" t="inlineStr">
        <is>
          <t>Hi Subodh,
As Vice President Operations at Garden Vareli,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Garden Vareli?
Best,
{{SENDER_NAME}}
{{SENDER_EMAIL}} | Book directly: {{CALENDLY_URL}}
P.S. If this isn't relevant, reply "no thanks" and I won't follow up again.</t>
        </is>
      </c>
      <c r="X69" t="inlineStr">
        <is>
          <t>How teams like Garden Vareli start with AI on ERP</t>
        </is>
      </c>
      <c r="Y69" s="3" t="inlineStr">
        <is>
          <t>Hi Subodh,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69" t="inlineStr">
        <is>
          <t>Should I stay or should I go, Subodh?</t>
        </is>
      </c>
      <c r="AA69" s="3" t="inlineStr">
        <is>
          <t>Hi Subodh,
I'll close the loop here — inbox zero is sacred.
If delivery-date slippage and yarn/greige inventory pile-ups becomes a priority at Garden Vareli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69" t="inlineStr">
        <is>
          <t>Draft</t>
        </is>
      </c>
      <c r="AC69" t="n">
        <v>0</v>
      </c>
      <c r="AD69" t="inlineStr"/>
      <c r="AE69" t="inlineStr"/>
      <c r="AF69" t="inlineStr"/>
    </row>
    <row r="70">
      <c r="A70" t="inlineStr">
        <is>
          <t>Mahendra</t>
        </is>
      </c>
      <c r="B70" t="inlineStr">
        <is>
          <t>Chauhan</t>
        </is>
      </c>
      <c r="C70" t="inlineStr">
        <is>
          <t>Senior Vice President Operations</t>
        </is>
      </c>
      <c r="D70" t="inlineStr">
        <is>
          <t>Garden Vareli</t>
        </is>
      </c>
      <c r="E70" t="inlineStr">
        <is>
          <t>mahendra.chauhan@gardenvareli.com</t>
        </is>
      </c>
      <c r="F70" t="n">
        <v>800</v>
      </c>
      <c r="G70" t="inlineStr">
        <is>
          <t>textiles</t>
        </is>
      </c>
      <c r="H70" t="inlineStr">
        <is>
          <t>http://www.linkedin.com/in/mahendra-chauhan-966785aa</t>
        </is>
      </c>
      <c r="I70" t="inlineStr">
        <is>
          <t>https://gardenvareli.com</t>
        </is>
      </c>
      <c r="J70" t="inlineStr">
        <is>
          <t>Surat</t>
        </is>
      </c>
      <c r="K70" t="inlineStr">
        <is>
          <t>Gujarat</t>
        </is>
      </c>
      <c r="L70" t="inlineStr">
        <is>
          <t>India</t>
        </is>
      </c>
      <c r="M70" t="n">
        <v>479672000</v>
      </c>
      <c r="N70" s="2" t="n">
        <v>91</v>
      </c>
      <c r="O70" s="2" t="inlineStr">
        <is>
          <t>A - Hot</t>
        </is>
      </c>
      <c r="P70" t="inlineStr">
        <is>
          <t>Tier 1 - C-Suite/Founder</t>
        </is>
      </c>
      <c r="Q70" t="inlineStr">
        <is>
          <t>C-Suite/Founder / Ops/Tech/Finance/Commercial</t>
        </is>
      </c>
      <c r="R70" t="inlineStr"/>
      <c r="S70" s="3" t="inlineStr">
        <is>
          <t>Hi Mahendra, your work as Senior Vice President Operations at Garden Vareli caught my eye. We build small AI use cases that sit on top of existing ERPs — think fewer stockouts and far less manual reconciliation. Would be glad to connect.</t>
        </is>
      </c>
      <c r="T70" s="3" t="inlineStr">
        <is>
          <t>Thanks for connecting, Mahendra. Quick context: we ship production scheduling and order-to-dispatch tracking layered on your ERP. Teams typically start with one narrow use case and see results in weeks, not an ERP-project timeline. Worth a short look for Garden Vareli?</t>
        </is>
      </c>
      <c r="U70" s="3" t="inlineStr">
        <is>
          <t>Mahendra, closing the loop so I'm not another unread ping. If it's useful, I can send a one-pager on production scheduling and order-to-dispatch tracking layered on your ERP for Garden Vareli — zero meetings needed. Just say the word.</t>
        </is>
      </c>
      <c r="V70" t="inlineStr">
        <is>
          <t>AI on top of Garden Vareli's ERP — one small use case</t>
        </is>
      </c>
      <c r="W70" s="3" t="inlineStr">
        <is>
          <t>Hi Mahendra,
As Senior Vice President Operations at Garden Vareli,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Garden Vareli?
Best,
{{SENDER_NAME}}
{{SENDER_EMAIL}} | Book directly: {{CALENDLY_URL}}
P.S. If this isn't relevant, reply "no thanks" and I won't follow up again.</t>
        </is>
      </c>
      <c r="X70" t="inlineStr">
        <is>
          <t>Re: one small AI use case for Garden Vareli</t>
        </is>
      </c>
      <c r="Y70" s="3" t="inlineStr">
        <is>
          <t>Hi Mahendra,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70" t="inlineStr">
        <is>
          <t>Should I stay or should I go, Mahendra?</t>
        </is>
      </c>
      <c r="AA70" s="3" t="inlineStr">
        <is>
          <t>Hi Mahendra,
I'll close the loop here — inbox zero is sacred.
If delivery-date slippage and yarn/greige inventory pile-ups becomes a priority at Garden Vareli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70" t="inlineStr">
        <is>
          <t>Draft</t>
        </is>
      </c>
      <c r="AC70" t="n">
        <v>0</v>
      </c>
      <c r="AD70" t="inlineStr"/>
      <c r="AE70" t="inlineStr"/>
      <c r="AF70" t="inlineStr"/>
    </row>
    <row r="71">
      <c r="A71" t="inlineStr">
        <is>
          <t>Gaurav</t>
        </is>
      </c>
      <c r="B71" t="inlineStr">
        <is>
          <t>Shah</t>
        </is>
      </c>
      <c r="C71" t="inlineStr">
        <is>
          <t>Chief Financial Officer</t>
        </is>
      </c>
      <c r="D71" t="inlineStr">
        <is>
          <t>The Sleep Company</t>
        </is>
      </c>
      <c r="E71" t="inlineStr">
        <is>
          <t>gaurav.shah@thesleepcompany.in</t>
        </is>
      </c>
      <c r="F71" t="n">
        <v>630</v>
      </c>
      <c r="G71" t="inlineStr">
        <is>
          <t>furniture</t>
        </is>
      </c>
      <c r="H71" t="inlineStr">
        <is>
          <t>http://www.linkedin.com/in/gaurav-shah-73b0aa19</t>
        </is>
      </c>
      <c r="I71" t="inlineStr">
        <is>
          <t>https://thesleepcompany.in</t>
        </is>
      </c>
      <c r="J71" t="inlineStr">
        <is>
          <t>Mumbai</t>
        </is>
      </c>
      <c r="K71" t="inlineStr">
        <is>
          <t>Maharashtra</t>
        </is>
      </c>
      <c r="L71" t="inlineStr">
        <is>
          <t>India</t>
        </is>
      </c>
      <c r="M71" t="n">
        <v>370000000</v>
      </c>
      <c r="N71" s="2" t="n">
        <v>91</v>
      </c>
      <c r="O71" s="2" t="inlineStr">
        <is>
          <t>A - Hot</t>
        </is>
      </c>
      <c r="P71" t="inlineStr">
        <is>
          <t>Tier 1 - C-Suite/Founder</t>
        </is>
      </c>
      <c r="Q71" t="inlineStr">
        <is>
          <t>C-Suite/Founder / Ops/Tech/Finance/Commercial</t>
        </is>
      </c>
      <c r="R71" t="inlineStr"/>
      <c r="S71" s="3" t="inlineStr">
        <is>
          <t>Hi Gaurav, your work as Chief Financial Officer at The Sleep Company caught my eye. We build small AI use cases that sit on top of existing ERPs — think recovering margin leakage and freeing working capital trapped in inventory. Would be glad to connect.</t>
        </is>
      </c>
      <c r="T71" s="3" t="inlineStr">
        <is>
          <t>Thanks for connecting, Gaurav. Quick context: we ship made-to-order lead-time prediction driven by your ERP order book. Teams typically start with one narrow use case and see results in weeks, not an ERP-project timeline. Worth a short look for The Sleep Company?</t>
        </is>
      </c>
      <c r="U71" s="3" t="inlineStr">
        <is>
          <t>Last note from me, Gaurav — timing is everything with these projects. If an AI-on-ERP pilot becomes relevant at The Sleep Company later, my line's open. Wishing you a strong quarter.</t>
        </is>
      </c>
      <c r="V71" t="inlineStr">
        <is>
          <t>Gaurav, a faster fix for quoted-vs-actual delivery gaps on custom orders</t>
        </is>
      </c>
      <c r="W71" s="3" t="inlineStr">
        <is>
          <t>Hi Gaurav,
As Chief Financial Officer at The Sleep Company, you likely see quoted-vs-actual delivery gaps on custom orders more closely than anyone.
We build AI solutions that plug into your existing ERP for small, high-impact use cases across retail ecosystems — starting with made-to-order lead-time prediction driven by your ERP order book.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The Sleep Company?
Best,
{{SENDER_NAME}}
{{SENDER_EMAIL}} | Book directly: {{CALENDLY_URL}}
P.S. If this isn't relevant, reply "no thanks" and I won't follow up again.</t>
        </is>
      </c>
      <c r="X71" t="inlineStr">
        <is>
          <t>How teams like The Sleep Company start with AI on ERP</t>
        </is>
      </c>
      <c r="Y71" s="3" t="inlineStr">
        <is>
          <t>Hi Gaurav,
Following up on my last note. The pattern that works in furniture:
pick one painful, well-bounded problem — for most teams that's quoted-vs-actual delivery gaps on custom orders — and put a
narrow AI layer on the ERP data you already have.
What that looks like in practice:
- Week 1: connect read-only to the ERP, baseline the problem with your data
- Week 2-3: pilot made-to-order lead-time prediction driven by your ERP order book
- Then: keep it only if the numbers justify it
No new platform, no long IT project. Would a 15-minute walkthrough this week or
next work? {{CALENDLY_URL}}
Best,
{{SENDER_NAME}}</t>
        </is>
      </c>
      <c r="Z71" t="inlineStr">
        <is>
          <t>Closing the loop, Gaurav</t>
        </is>
      </c>
      <c r="AA71" s="3" t="inlineStr">
        <is>
          <t>Hi Gaurav,
I'll close the loop here — inbox zero is sacred.
If quoted-vs-actual delivery gaps on custom orders becomes a priority at The Sleep Company this year, we're a 15-minute
conversation away: {{CALENDLY_URL}}. If it's easier, I can also send a
one-page overview of made-to-order lead-time prediction driven by your ERP order book that you can forward internally — just reply
"send it".
Either way, thanks for reading, and good luck this quarter.
Best,
{{SENDER_NAME}}
(Reply "unsubscribe" and you won't hear from me again.)</t>
        </is>
      </c>
      <c r="AB71" t="inlineStr">
        <is>
          <t>Draft</t>
        </is>
      </c>
      <c r="AC71" t="n">
        <v>0</v>
      </c>
      <c r="AD71" t="inlineStr"/>
      <c r="AE71" t="inlineStr"/>
      <c r="AF71" t="inlineStr"/>
    </row>
    <row r="72">
      <c r="A72" t="inlineStr">
        <is>
          <t>Gogia</t>
        </is>
      </c>
      <c r="B72" t="inlineStr">
        <is>
          <t>Pravin</t>
        </is>
      </c>
      <c r="C72" t="inlineStr">
        <is>
          <t>Associate Vice President ( Exports and Agri business)</t>
        </is>
      </c>
      <c r="D72" t="inlineStr">
        <is>
          <t>Garware Technical Fibres Limited</t>
        </is>
      </c>
      <c r="E72" t="inlineStr">
        <is>
          <t>pgogia@garwarefibres.com</t>
        </is>
      </c>
      <c r="F72" t="n">
        <v>1200</v>
      </c>
      <c r="G72" t="inlineStr">
        <is>
          <t>textiles</t>
        </is>
      </c>
      <c r="H72" t="inlineStr">
        <is>
          <t>http://www.linkedin.com/in/gogia-pravin-1356757</t>
        </is>
      </c>
      <c r="I72" t="inlineStr">
        <is>
          <t>https://garwarefibres.com</t>
        </is>
      </c>
      <c r="J72" t="inlineStr">
        <is>
          <t>Pune</t>
        </is>
      </c>
      <c r="K72" t="inlineStr">
        <is>
          <t>Maharashtra</t>
        </is>
      </c>
      <c r="L72" t="inlineStr">
        <is>
          <t>India</t>
        </is>
      </c>
      <c r="M72" t="n">
        <v>182142000</v>
      </c>
      <c r="N72" s="2" t="n">
        <v>91</v>
      </c>
      <c r="O72" s="2" t="inlineStr">
        <is>
          <t>A - Hot</t>
        </is>
      </c>
      <c r="P72" t="inlineStr">
        <is>
          <t>Tier 1 - C-Suite/Founder</t>
        </is>
      </c>
      <c r="Q72" t="inlineStr">
        <is>
          <t>C-Suite/Founder / Ops/Tech/Finance/Commercial</t>
        </is>
      </c>
      <c r="R72" t="inlineStr"/>
      <c r="S72" s="3" t="inlineStr">
        <is>
          <t>Hi Gogia, your work as Associate Vice President ( Exports and Agri business) at Garware Technical Fibres Limited caught my eye. We build small AI use cases that sit on top of existing ERPs — think measurable margin and working-capital gains within a quarter. Would be glad to connect.</t>
        </is>
      </c>
      <c r="T72" s="3" t="inlineStr">
        <is>
          <t>Glad to be connected, Gogia. Most textiles teams we meet struggle with delivery-date slippage and yarn/greige inventory pile-ups. We fix exactly that with production scheduling and order-to-dispatch tracking layered on your ERP. Open to a 15-minute walkthrough?</t>
        </is>
      </c>
      <c r="U72" s="3" t="inlineStr">
        <is>
          <t>Gogia, I'll leave this here rather than keep nudging — if delivery-date slippage and yarn/greige inventory pile-ups ever climbs the priority list at Garware Technical Fibres Limited, a 15-minute call is all it takes to see if there's a fit. Either way, good luck this quarter.</t>
        </is>
      </c>
      <c r="V72" t="inlineStr">
        <is>
          <t>Delivery-date slippage at Garware Technical Fibres Limited?</t>
        </is>
      </c>
      <c r="W72" s="3" t="inlineStr">
        <is>
          <t>Hi Gogia,
As Associate Vice President ( Exports and Agri business) at Garware Technical Fibres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Garware Technical Fibres Limited?
Best,
{{SENDER_NAME}}
{{SENDER_EMAIL}} | Book directly: {{CALENDLY_URL}}
P.S. If this isn't relevant, reply "no thanks" and I won't follow up again.</t>
        </is>
      </c>
      <c r="X72" t="inlineStr">
        <is>
          <t>How teams like Garware Technical Fibres Limited start with AI on ERP</t>
        </is>
      </c>
      <c r="Y72" s="3" t="inlineStr">
        <is>
          <t>Hi Gogia,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72" t="inlineStr">
        <is>
          <t>Should I stay or should I go, Gogia?</t>
        </is>
      </c>
      <c r="AA72" s="3" t="inlineStr">
        <is>
          <t>Hi Gogia,
I'll close the loop here — inbox zero is sacred.
If delivery-date slippage and yarn/greige inventory pile-ups becomes a priority at Garware Technical Fibres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72" t="inlineStr">
        <is>
          <t>Draft</t>
        </is>
      </c>
      <c r="AC72" t="n">
        <v>0</v>
      </c>
      <c r="AD72" t="inlineStr"/>
      <c r="AE72" t="inlineStr"/>
      <c r="AF72" t="inlineStr"/>
    </row>
    <row r="73">
      <c r="A73" t="inlineStr">
        <is>
          <t>Yogesh</t>
        </is>
      </c>
      <c r="B73" t="inlineStr">
        <is>
          <t>Shah</t>
        </is>
      </c>
      <c r="C73" t="inlineStr">
        <is>
          <t>Chief Financial Officer</t>
        </is>
      </c>
      <c r="D73" t="inlineStr">
        <is>
          <t>Century Enka Limited</t>
        </is>
      </c>
      <c r="E73" t="inlineStr">
        <is>
          <t>yogesh.shah@adityabirla.com</t>
        </is>
      </c>
      <c r="F73" t="n">
        <v>1600</v>
      </c>
      <c r="G73" t="inlineStr">
        <is>
          <t>textiles</t>
        </is>
      </c>
      <c r="H73" t="inlineStr">
        <is>
          <t>http://www.linkedin.com/in/yogesh-shah-068aa61b</t>
        </is>
      </c>
      <c r="I73" t="inlineStr">
        <is>
          <t>https://centuryenka.com</t>
        </is>
      </c>
      <c r="J73" t="inlineStr">
        <is>
          <t>Thane</t>
        </is>
      </c>
      <c r="K73" t="inlineStr">
        <is>
          <t>Maharashtra</t>
        </is>
      </c>
      <c r="L73" t="inlineStr">
        <is>
          <t>India</t>
        </is>
      </c>
      <c r="M73" t="n">
        <v>236962000</v>
      </c>
      <c r="N73" s="2" t="n">
        <v>91</v>
      </c>
      <c r="O73" s="2" t="inlineStr">
        <is>
          <t>A - Hot</t>
        </is>
      </c>
      <c r="P73" t="inlineStr">
        <is>
          <t>Tier 1 - C-Suite/Founder</t>
        </is>
      </c>
      <c r="Q73" t="inlineStr">
        <is>
          <t>C-Suite/Founder / Ops/Tech/Finance/Commercial</t>
        </is>
      </c>
      <c r="R73" t="inlineStr"/>
      <c r="S73" s="3" t="inlineStr">
        <is>
          <t>Hi Yogesh, your work as Chief Financial Officer at Century Enka Limited caught my eye. We build small AI use cases that sit on top of existing ERPs — think recovering margin leakage and freeing working capital trapped in inventory. Would be glad to connect.</t>
        </is>
      </c>
      <c r="T73" s="3" t="inlineStr">
        <is>
          <t>Thanks for connecting, Yogesh. Quick context: we ship production scheduling and order-to-dispatch tracking layered on your ERP. Teams typically start with one narrow use case and see results in weeks, not an ERP-project timeline. Worth a short look for Century Enka Limited?</t>
        </is>
      </c>
      <c r="U73" s="3" t="inlineStr">
        <is>
          <t>Yogesh, I'll leave this here rather than keep nudging — if delivery-date slippage and yarn/greige inventory pile-ups ever climbs the priority list at Century Enka Limited, a 15-minute call is all it takes to see if there's a fit. Either way, good luck this quarter.</t>
        </is>
      </c>
      <c r="V73" t="inlineStr">
        <is>
          <t>Delivery-date slippage at Century Enka Limited?</t>
        </is>
      </c>
      <c r="W73" s="3" t="inlineStr">
        <is>
          <t>Hi Yogesh,
As Chief Financial Officer at Century Enka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Century Enka Limited?
Best,
{{SENDER_NAME}}
{{SENDER_EMAIL}} | Book directly: {{CALENDLY_URL}}
P.S. If this isn't relevant, reply "no thanks" and I won't follow up again.</t>
        </is>
      </c>
      <c r="X73" t="inlineStr">
        <is>
          <t>Yogesh — the 3-week pilot version</t>
        </is>
      </c>
      <c r="Y73" s="3" t="inlineStr">
        <is>
          <t>Hi Yogesh,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73" t="inlineStr">
        <is>
          <t>Closing the loop, Yogesh</t>
        </is>
      </c>
      <c r="AA73" s="3" t="inlineStr">
        <is>
          <t>Hi Yogesh,
I'll close the loop here — inbox zero is sacred.
If delivery-date slippage and yarn/greige inventory pile-ups becomes a priority at Century Enka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73" t="inlineStr">
        <is>
          <t>Draft</t>
        </is>
      </c>
      <c r="AC73" t="n">
        <v>0</v>
      </c>
      <c r="AD73" t="inlineStr"/>
      <c r="AE73" t="inlineStr"/>
      <c r="AF73" t="inlineStr"/>
    </row>
    <row r="74">
      <c r="A74" t="inlineStr">
        <is>
          <t>Pankaj</t>
        </is>
      </c>
      <c r="B74" t="inlineStr">
        <is>
          <t>Agarwal</t>
        </is>
      </c>
      <c r="C74" t="inlineStr">
        <is>
          <t>Chief Operating Officer</t>
        </is>
      </c>
      <c r="D74" t="inlineStr">
        <is>
          <t>Haldiram Foods International Ltd</t>
        </is>
      </c>
      <c r="E74" t="inlineStr">
        <is>
          <t>pankaj.a@haldirams.com</t>
        </is>
      </c>
      <c r="F74" t="n">
        <v>3200</v>
      </c>
      <c r="G74" t="inlineStr">
        <is>
          <t>food &amp; beverages</t>
        </is>
      </c>
      <c r="H74" t="inlineStr">
        <is>
          <t>http://www.linkedin.com/in/pankaj-agarwal-19766a51</t>
        </is>
      </c>
      <c r="I74" t="inlineStr">
        <is>
          <t>https://haldirams.com</t>
        </is>
      </c>
      <c r="J74" t="inlineStr">
        <is>
          <t>New Delhi</t>
        </is>
      </c>
      <c r="K74" t="inlineStr">
        <is>
          <t>Delhi</t>
        </is>
      </c>
      <c r="L74" t="inlineStr">
        <is>
          <t>India</t>
        </is>
      </c>
      <c r="M74" t="n">
        <v>5323000000</v>
      </c>
      <c r="N74" s="2" t="n">
        <v>90</v>
      </c>
      <c r="O74" s="2" t="inlineStr">
        <is>
          <t>A - Hot</t>
        </is>
      </c>
      <c r="P74" t="inlineStr">
        <is>
          <t>Tier 1 - C-Suite/Founder</t>
        </is>
      </c>
      <c r="Q74" t="inlineStr">
        <is>
          <t>C-Suite/Founder / General</t>
        </is>
      </c>
      <c r="R74" t="inlineStr"/>
      <c r="S74" s="3" t="inlineStr">
        <is>
          <t>Hi Pankaj, I work with food &amp; beverages leaders on measurable margin and working-capital gains within a quarter — lightweight AI that plugs into the ERP you already run. Given your seat at Haldiram Foods International Ltd, thought it was worth connecting.</t>
        </is>
      </c>
      <c r="T74" s="3" t="inlineStr">
        <is>
          <t>Glad to be connected, Pankaj. Most food &amp; beverages teams we meet struggle with near-expiry write-offs and distributor claim reconciliation. We fix exactly that with expiry-aware replenishment and wastage prediction wired into your ERP. Open to a 15-minute walkthrough?</t>
        </is>
      </c>
      <c r="U74" s="3" t="inlineStr">
        <is>
          <t>Pankaj, closing the loop so I'm not another unread ping. If it's useful, I can send a one-pager on expiry-aware replenishment and wastage prediction wired into your ERP for Haldiram Foods International Ltd — zero meetings needed. Just say the word.</t>
        </is>
      </c>
      <c r="V74" t="inlineStr">
        <is>
          <t>AI on top of Haldiram Foods International Ltd's ERP — one small use case</t>
        </is>
      </c>
      <c r="W74" s="3" t="inlineStr">
        <is>
          <t>Hi Pankaj,
As Chief Operating Officer at Haldiram Foods International Ltd,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Haldiram Foods International Ltd?
Best,
{{SENDER_NAME}}
{{SENDER_EMAIL}} | Book directly: {{CALENDLY_URL}}
P.S. If this isn't relevant, reply "no thanks" and I won't follow up again.</t>
        </is>
      </c>
      <c r="X74" t="inlineStr">
        <is>
          <t>Re: one small AI use case for Haldiram Foods International Ltd</t>
        </is>
      </c>
      <c r="Y74" s="3" t="inlineStr">
        <is>
          <t>Hi Pankaj,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74" t="inlineStr">
        <is>
          <t>Last note — AI on ERP at Haldiram Foods International Ltd</t>
        </is>
      </c>
      <c r="AA74" s="3" t="inlineStr">
        <is>
          <t>Hi Pankaj,
I'll close the loop here — inbox zero is sacred.
If near-expiry write-offs and distributor claim reconciliation becomes a priority at Haldiram Foods International Ltd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74" t="inlineStr">
        <is>
          <t>Draft</t>
        </is>
      </c>
      <c r="AC74" t="n">
        <v>0</v>
      </c>
      <c r="AD74" t="inlineStr"/>
      <c r="AE74" t="inlineStr"/>
      <c r="AF74" t="inlineStr"/>
    </row>
    <row r="75">
      <c r="A75" t="inlineStr">
        <is>
          <t>Amit</t>
        </is>
      </c>
      <c r="B75" t="inlineStr">
        <is>
          <t>Shrivastava</t>
        </is>
      </c>
      <c r="C75" t="inlineStr">
        <is>
          <t>Chief Digital Officer (CDO) - UPL</t>
        </is>
      </c>
      <c r="D75" t="inlineStr">
        <is>
          <t>UPL</t>
        </is>
      </c>
      <c r="E75" t="inlineStr">
        <is>
          <t>amit.shri@upl-ltd.com</t>
        </is>
      </c>
      <c r="F75" t="n">
        <v>12000</v>
      </c>
      <c r="G75" t="inlineStr">
        <is>
          <t>farming</t>
        </is>
      </c>
      <c r="H75" t="inlineStr">
        <is>
          <t>http://www.linkedin.com/in/callamits</t>
        </is>
      </c>
      <c r="I75" t="inlineStr">
        <is>
          <t>https://upl-ltd.com</t>
        </is>
      </c>
      <c r="J75" t="inlineStr">
        <is>
          <t>Bengaluru</t>
        </is>
      </c>
      <c r="K75" t="inlineStr">
        <is>
          <t>Karnataka</t>
        </is>
      </c>
      <c r="L75" t="inlineStr">
        <is>
          <t>India</t>
        </is>
      </c>
      <c r="M75" t="n">
        <v>5508517000</v>
      </c>
      <c r="N75" s="2" t="n">
        <v>90</v>
      </c>
      <c r="O75" s="2" t="inlineStr">
        <is>
          <t>A - Hot</t>
        </is>
      </c>
      <c r="P75" t="inlineStr">
        <is>
          <t>Tier 1 - C-Suite/Founder</t>
        </is>
      </c>
      <c r="Q75" t="inlineStr">
        <is>
          <t>C-Suite/Founder / Ops/Tech/Finance/Commercial</t>
        </is>
      </c>
      <c r="R75" t="inlineStr"/>
      <c r="S75" s="3" t="inlineStr">
        <is>
          <t>Hi Amit, your work as Chief Digital Officer (CDO) - UPL at UPL caught my eye. We build small AI use cases that sit on top of existing ERPs — think adding AI capability without any rip-and-replace of the current ERP. Would be glad to connect.</t>
        </is>
      </c>
      <c r="T75" s="3" t="inlineStr">
        <is>
          <t>Appreciate the connect, Amit. One idea for UPL: procurement price forecasting and supply planning connected to your ERP. It runs alongside your current ERP, so there's no migration risk — just one contained pilot. Happy to share how similar teams structure it.</t>
        </is>
      </c>
      <c r="U75" s="3" t="inlineStr">
        <is>
          <t>Amit, I'll leave this here rather than keep nudging — if volatile procurement prices and manual arrival planning ever climbs the priority list at UPL, a 15-minute call is all it takes to see if there's a fit. Either way, good luck this quarter.</t>
        </is>
      </c>
      <c r="V75" t="inlineStr">
        <is>
          <t>AI on top of UPL's ERP — one small use case</t>
        </is>
      </c>
      <c r="W75" s="3" t="inlineStr">
        <is>
          <t>Hi Amit,
As Chief Digital Officer (CDO) - UPL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UPL?
Best,
{{SENDER_NAME}}
{{SENDER_EMAIL}} | Book directly: {{CALENDLY_URL}}
P.S. If this isn't relevant, reply "no thanks" and I won't follow up again.</t>
        </is>
      </c>
      <c r="X75" t="inlineStr">
        <is>
          <t>How teams like UPL start with AI on ERP</t>
        </is>
      </c>
      <c r="Y75" s="3" t="inlineStr">
        <is>
          <t>Hi Amit,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75" t="inlineStr">
        <is>
          <t>Should I stay or should I go, Amit?</t>
        </is>
      </c>
      <c r="AA75" s="3" t="inlineStr">
        <is>
          <t>Hi Amit,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75" t="inlineStr">
        <is>
          <t>Draft</t>
        </is>
      </c>
      <c r="AC75" t="n">
        <v>0</v>
      </c>
      <c r="AD75" t="inlineStr"/>
      <c r="AE75" t="inlineStr"/>
      <c r="AF75" t="inlineStr"/>
    </row>
    <row r="76">
      <c r="A76" t="inlineStr">
        <is>
          <t>Saurabh</t>
        </is>
      </c>
      <c r="B76" t="inlineStr">
        <is>
          <t>Agrawal</t>
        </is>
      </c>
      <c r="C76" t="inlineStr">
        <is>
          <t>AVP Finance</t>
        </is>
      </c>
      <c r="D76" t="inlineStr">
        <is>
          <t>Bikaji Foods International Ltd. - India</t>
        </is>
      </c>
      <c r="E76" t="inlineStr">
        <is>
          <t>saurabhagrawal@bikaji.com</t>
        </is>
      </c>
      <c r="F76" t="n">
        <v>890</v>
      </c>
      <c r="G76" t="inlineStr">
        <is>
          <t>food &amp; beverages</t>
        </is>
      </c>
      <c r="H76" t="inlineStr">
        <is>
          <t>http://www.linkedin.com/in/saurabh-agrawal-58162758</t>
        </is>
      </c>
      <c r="I76" t="inlineStr">
        <is>
          <t>https://bikaji.com</t>
        </is>
      </c>
      <c r="J76" t="inlineStr">
        <is>
          <t>New Delhi</t>
        </is>
      </c>
      <c r="K76" t="inlineStr">
        <is>
          <t>Delhi</t>
        </is>
      </c>
      <c r="L76" t="inlineStr">
        <is>
          <t>India</t>
        </is>
      </c>
      <c r="M76" t="n">
        <v>287290000</v>
      </c>
      <c r="N76" s="2" t="n">
        <v>90</v>
      </c>
      <c r="O76" s="2" t="inlineStr">
        <is>
          <t>A - Hot</t>
        </is>
      </c>
      <c r="P76" t="inlineStr">
        <is>
          <t>Tier 2 - VP</t>
        </is>
      </c>
      <c r="Q76" t="inlineStr">
        <is>
          <t>VP / Ops/Tech/Finance/Commercial</t>
        </is>
      </c>
      <c r="R76" t="inlineStr"/>
      <c r="S76" s="3" t="inlineStr">
        <is>
          <t>Hi Saurabh, we help teams like Bikaji Foods International Ltd. - India's tackle near-expiry write-offs and distributor claim reconciliation with AI add-ons to their existing ERP — no replatforming. Keen to connect and swap notes.</t>
        </is>
      </c>
      <c r="T76" s="3" t="inlineStr">
        <is>
          <t>Appreciate the connect, Saurabh. One idea for Bikaji Foods International Ltd. - India: expiry-aware replenishment and wastage prediction wired into your ERP. It runs alongside your current ERP, so there's no migration risk — just one contained pilot. Happy to share how similar teams structure it.</t>
        </is>
      </c>
      <c r="U76" s="3" t="inlineStr">
        <is>
          <t>Saurabh, closing the loop so I'm not another unread ping. If it's useful, I can send a one-pager on expiry-aware replenishment and wastage prediction wired into your ERP for Bikaji Foods International Ltd. - India — zero meetings needed. Just say the word.</t>
        </is>
      </c>
      <c r="V76" t="inlineStr">
        <is>
          <t>Saurabh, a faster fix for near-expiry write-offs</t>
        </is>
      </c>
      <c r="W76" s="3" t="inlineStr">
        <is>
          <t>Hi Saurabh,
As AVP Finance at Bikaji Foods International Ltd. - India,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Bikaji Foods International Ltd. - India?
Best,
{{SENDER_NAME}}
{{SENDER_EMAIL}} | Book directly: {{CALENDLY_URL}}
P.S. If this isn't relevant, reply "no thanks" and I won't follow up again.</t>
        </is>
      </c>
      <c r="X76" t="inlineStr">
        <is>
          <t>Saurabh — the 3-week pilot version</t>
        </is>
      </c>
      <c r="Y76" s="3" t="inlineStr">
        <is>
          <t>Hi Saurabh,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76" t="inlineStr">
        <is>
          <t>Should I stay or should I go, Saurabh?</t>
        </is>
      </c>
      <c r="AA76" s="3" t="inlineStr">
        <is>
          <t>Hi Saurabh,
I'll close the loop here — inbox zero is sacred.
If near-expiry write-offs and distributor claim reconciliation becomes a priority at Bikaji Foods International Ltd. - India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76" t="inlineStr">
        <is>
          <t>Draft</t>
        </is>
      </c>
      <c r="AC76" t="n">
        <v>0</v>
      </c>
      <c r="AD76" t="inlineStr"/>
      <c r="AE76" t="inlineStr"/>
      <c r="AF76" t="inlineStr"/>
    </row>
    <row r="77">
      <c r="A77" t="inlineStr">
        <is>
          <t>Mandavi</t>
        </is>
      </c>
      <c r="B77" t="inlineStr">
        <is>
          <t>Singh</t>
        </is>
      </c>
      <c r="C77" t="inlineStr">
        <is>
          <t>AVP, Digital &amp; Information Technology</t>
        </is>
      </c>
      <c r="D77" t="inlineStr">
        <is>
          <t>Shoppers Stop</t>
        </is>
      </c>
      <c r="E77" t="inlineStr">
        <is>
          <t>mandavi.singh@shoppersstop.com</t>
        </is>
      </c>
      <c r="F77" t="n">
        <v>6400</v>
      </c>
      <c r="G77" t="inlineStr">
        <is>
          <t>retail</t>
        </is>
      </c>
      <c r="H77" t="inlineStr">
        <is>
          <t>http://www.linkedin.com/in/mandavi-singh-b118452a9</t>
        </is>
      </c>
      <c r="I77" t="inlineStr">
        <is>
          <t>https://shoppersstop.com</t>
        </is>
      </c>
      <c r="J77" t="inlineStr">
        <is>
          <t>Mumbai</t>
        </is>
      </c>
      <c r="K77" t="inlineStr">
        <is>
          <t>Maharashtra</t>
        </is>
      </c>
      <c r="L77" t="inlineStr">
        <is>
          <t>India</t>
        </is>
      </c>
      <c r="M77" t="n">
        <v>547056000</v>
      </c>
      <c r="N77" s="2" t="n">
        <v>90</v>
      </c>
      <c r="O77" s="2" t="inlineStr">
        <is>
          <t>A - Hot</t>
        </is>
      </c>
      <c r="P77" t="inlineStr">
        <is>
          <t>Tier 2 - VP</t>
        </is>
      </c>
      <c r="Q77" t="inlineStr">
        <is>
          <t>VP / Ops/Tech/Finance/Commercial</t>
        </is>
      </c>
      <c r="R77" t="inlineStr"/>
      <c r="S77" s="3" t="inlineStr">
        <is>
          <t>Hi Mandavi, we help teams like Shoppers Stop's tackle stockouts and excess inventory that the ERP reports only after the fact with AI add-ons to their existing ERP — no replatforming. Keen to connect and swap notes.</t>
        </is>
      </c>
      <c r="T77" s="3" t="inlineStr">
        <is>
          <t>Glad to be connected, Mandavi. Most retail teams we meet struggle with stockouts and excess inventory that the ERP reports only after the fact. We fix exactly that with SKU-level demand forecasting and auto-replenishment on top of your ERP. Open to a 15-minute walkthrough?</t>
        </is>
      </c>
      <c r="U77" s="3" t="inlineStr">
        <is>
          <t>Mandavi, closing the loop so I'm not another unread ping. If it's useful, I can send a one-pager on SKU-level demand forecasting and auto-replenishment on top of your ERP for Shoppers Stop — zero meetings needed. Just say the word.</t>
        </is>
      </c>
      <c r="V77" t="inlineStr">
        <is>
          <t>AI on top of Shoppers Stop's ERP — one small use case</t>
        </is>
      </c>
      <c r="W77" s="3" t="inlineStr">
        <is>
          <t>Hi Mandavi,
As AVP, Digital &amp; Information Technology at Shoppers Stop,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Shoppers Stop?
Best,
{{SENDER_NAME}}
{{SENDER_EMAIL}} | Book directly: {{CALENDLY_URL}}
P.S. If this isn't relevant, reply "no thanks" and I won't follow up again.</t>
        </is>
      </c>
      <c r="X77" t="inlineStr">
        <is>
          <t>How teams like Shoppers Stop start with AI on ERP</t>
        </is>
      </c>
      <c r="Y77" s="3" t="inlineStr">
        <is>
          <t>Hi Mandavi,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77" t="inlineStr">
        <is>
          <t>Closing the loop, Mandavi</t>
        </is>
      </c>
      <c r="AA77" s="3" t="inlineStr">
        <is>
          <t>Hi Mandavi,
I'll close the loop here — inbox zero is sacred.
If stockouts and excess inventory that the ERP reports only after the fact becomes a priority at Shoppers Stop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77" t="inlineStr">
        <is>
          <t>Draft</t>
        </is>
      </c>
      <c r="AC77" t="n">
        <v>0</v>
      </c>
      <c r="AD77" t="inlineStr"/>
      <c r="AE77" t="inlineStr"/>
      <c r="AF77" t="inlineStr"/>
    </row>
    <row r="78">
      <c r="A78" t="inlineStr">
        <is>
          <t>Pankaj</t>
        </is>
      </c>
      <c r="B78" t="inlineStr">
        <is>
          <t>Rathi</t>
        </is>
      </c>
      <c r="C78" t="inlineStr">
        <is>
          <t>Senior VP Corporate Finance</t>
        </is>
      </c>
      <c r="D78" t="inlineStr">
        <is>
          <t>Travel Food Services Limited (TFS)</t>
        </is>
      </c>
      <c r="E78" t="inlineStr">
        <is>
          <t>pankaj.rathi@travelfoodservices.com</t>
        </is>
      </c>
      <c r="F78" t="n">
        <v>2300</v>
      </c>
      <c r="G78" t="inlineStr">
        <is>
          <t>food &amp; beverages</t>
        </is>
      </c>
      <c r="H78" t="inlineStr">
        <is>
          <t>http://www.linkedin.com/in/pankaj1979</t>
        </is>
      </c>
      <c r="I78" t="inlineStr">
        <is>
          <t>https://travelfoodservices.com</t>
        </is>
      </c>
      <c r="J78" t="inlineStr">
        <is>
          <t>Mumbai</t>
        </is>
      </c>
      <c r="K78" t="inlineStr">
        <is>
          <t>Maharashtra</t>
        </is>
      </c>
      <c r="L78" t="inlineStr">
        <is>
          <t>India</t>
        </is>
      </c>
      <c r="M78" t="n">
        <v>193000000</v>
      </c>
      <c r="N78" s="2" t="n">
        <v>90</v>
      </c>
      <c r="O78" s="2" t="inlineStr">
        <is>
          <t>A - Hot</t>
        </is>
      </c>
      <c r="P78" t="inlineStr">
        <is>
          <t>Tier 2 - VP</t>
        </is>
      </c>
      <c r="Q78" t="inlineStr">
        <is>
          <t>VP / Ops/Tech/Finance/Commercial</t>
        </is>
      </c>
      <c r="R78" t="inlineStr"/>
      <c r="S78" s="3" t="inlineStr">
        <is>
          <t>Hi Pankaj, I work with food &amp; beverages leaders on recovering margin leakage and freeing working capital trapped in inventory — lightweight AI that plugs into the ERP you already run. Given your seat at Travel Food Services Limited (TFS), thought it was worth connecting.</t>
        </is>
      </c>
      <c r="T78" s="3" t="inlineStr">
        <is>
          <t>Glad to be connected, Pankaj. Most food &amp; beverages teams we meet struggle with near-expiry write-offs and distributor claim reconciliation. We fix exactly that with expiry-aware replenishment and wastage prediction wired into your ERP. Open to a 15-minute walkthrough?</t>
        </is>
      </c>
      <c r="U78" s="3" t="inlineStr">
        <is>
          <t>Pankaj, I'll leave this here rather than keep nudging — if near-expiry write-offs and distributor claim reconciliation ever climbs the priority list at Travel Food Services Limited (TFS), a 15-minute call is all it takes to see if there's a fit. Either way, good luck this quarter.</t>
        </is>
      </c>
      <c r="V78" t="inlineStr">
        <is>
          <t>Near-expiry write-offs at Travel Food Services Limited (TFS)?</t>
        </is>
      </c>
      <c r="W78" s="3" t="inlineStr">
        <is>
          <t>Hi Pankaj,
As Senior VP Corporate Finance at Travel Food Services Limited (TFS),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Travel Food Services Limited (TFS)?
Best,
{{SENDER_NAME}}
{{SENDER_EMAIL}} | Book directly: {{CALENDLY_URL}}
P.S. If this isn't relevant, reply "no thanks" and I won't follow up again.</t>
        </is>
      </c>
      <c r="X78" t="inlineStr">
        <is>
          <t>Re: one small AI use case for Travel Food Services Limited (TFS)</t>
        </is>
      </c>
      <c r="Y78" s="3" t="inlineStr">
        <is>
          <t>Hi Pankaj,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78" t="inlineStr">
        <is>
          <t>Should I stay or should I go, Pankaj?</t>
        </is>
      </c>
      <c r="AA78" s="3" t="inlineStr">
        <is>
          <t>Hi Pankaj,
I'll close the loop here — inbox zero is sacred.
If near-expiry write-offs and distributor claim reconciliation becomes a priority at Travel Food Services Limited (TFS)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78" t="inlineStr">
        <is>
          <t>Draft</t>
        </is>
      </c>
      <c r="AC78" t="n">
        <v>0</v>
      </c>
      <c r="AD78" t="inlineStr"/>
      <c r="AE78" t="inlineStr"/>
      <c r="AF78" t="inlineStr"/>
    </row>
    <row r="79">
      <c r="A79" t="inlineStr">
        <is>
          <t>Sreedhar</t>
        </is>
      </c>
      <c r="B79" t="inlineStr">
        <is>
          <t>Ramachandran</t>
        </is>
      </c>
      <c r="C79" t="inlineStr">
        <is>
          <t>Vice President Operations S\&amp;M (Food Division)</t>
        </is>
      </c>
      <c r="D79" t="inlineStr">
        <is>
          <t>Baramati Agro Ltd</t>
        </is>
      </c>
      <c r="E79" t="inlineStr">
        <is>
          <t>sreedhar.ramachandran@baramatiagro.com</t>
        </is>
      </c>
      <c r="F79" t="n">
        <v>1100</v>
      </c>
      <c r="G79" t="inlineStr">
        <is>
          <t>food production</t>
        </is>
      </c>
      <c r="H79" t="inlineStr">
        <is>
          <t>http://www.linkedin.com/in/sreedhar-ramachandran-3514aa26</t>
        </is>
      </c>
      <c r="I79" t="inlineStr">
        <is>
          <t>https://baramatiagro.com</t>
        </is>
      </c>
      <c r="J79" t="inlineStr">
        <is>
          <t>Pune</t>
        </is>
      </c>
      <c r="K79" t="inlineStr">
        <is>
          <t>Maharashtra</t>
        </is>
      </c>
      <c r="L79" t="inlineStr">
        <is>
          <t>India</t>
        </is>
      </c>
      <c r="M79" t="n">
        <v>6033000000</v>
      </c>
      <c r="N79" s="2" t="n">
        <v>90</v>
      </c>
      <c r="O79" s="2" t="inlineStr">
        <is>
          <t>A - Hot</t>
        </is>
      </c>
      <c r="P79" t="inlineStr">
        <is>
          <t>Tier 1 - C-Suite/Founder</t>
        </is>
      </c>
      <c r="Q79" t="inlineStr">
        <is>
          <t>C-Suite/Founder / Ops/Tech/Finance/Commercial</t>
        </is>
      </c>
      <c r="R79" t="inlineStr"/>
      <c r="S79" s="3" t="inlineStr">
        <is>
          <t>Hi Sreedhar, your work as Vice President Operations S\&amp;M (Food Division) at Baramati Agro Ltd caught my eye. We build small AI use cases that sit on top of existing ERPs — think fewer stockouts and far less manual reconciliation. Would be glad to connect.</t>
        </is>
      </c>
      <c r="T79" s="3" t="inlineStr">
        <is>
          <t>Glad to be connected, Sreedhar. Most food production teams we meet struggle with batch-to-batch yield swings and manual quality paperwork. We fix exactly that with yield prediction and QC anomaly detection fed by your ERP batch data. Open to a 15-minute walkthrough?</t>
        </is>
      </c>
      <c r="U79" s="3" t="inlineStr">
        <is>
          <t>Sreedhar, closing the loop so I'm not another unread ping. If it's useful, I can send a one-pager on yield prediction and QC anomaly detection fed by your ERP batch data for Baramati Agro Ltd — zero meetings needed. Just say the word.</t>
        </is>
      </c>
      <c r="V79" t="inlineStr">
        <is>
          <t>Sreedhar, a faster fix for batch-to-batch yield swings</t>
        </is>
      </c>
      <c r="W79" s="3" t="inlineStr">
        <is>
          <t>Hi Sreedhar,
As Vice President Operations S\&amp;M (Food Division) at Baramati Agro Ltd,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fewer stockouts and far less manual reconciliation.
Open to a 15-minute call to see if there's a fit for Baramati Agro Ltd?
Best,
{{SENDER_NAME}}
{{SENDER_EMAIL}} | Book directly: {{CALENDLY_URL}}
P.S. If this isn't relevant, reply "no thanks" and I won't follow up again.</t>
        </is>
      </c>
      <c r="X79" t="inlineStr">
        <is>
          <t>Re: one small AI use case for Baramati Agro Ltd</t>
        </is>
      </c>
      <c r="Y79" s="3" t="inlineStr">
        <is>
          <t>Hi Sreedhar,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79" t="inlineStr">
        <is>
          <t>Should I stay or should I go, Sreedhar?</t>
        </is>
      </c>
      <c r="AA79" s="3" t="inlineStr">
        <is>
          <t>Hi Sreedhar,
I'll close the loop here — inbox zero is sacred.
If batch-to-batch yield swings and manual quality paperwork becomes a priority at Baramati Agro Ltd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79" t="inlineStr">
        <is>
          <t>Draft</t>
        </is>
      </c>
      <c r="AC79" t="n">
        <v>0</v>
      </c>
      <c r="AD79" t="inlineStr"/>
      <c r="AE79" t="inlineStr"/>
      <c r="AF79" t="inlineStr"/>
    </row>
    <row r="80">
      <c r="A80" t="inlineStr">
        <is>
          <t>Mandar</t>
        </is>
      </c>
      <c r="B80" t="inlineStr">
        <is>
          <t>Kadam</t>
        </is>
      </c>
      <c r="C80" t="inlineStr">
        <is>
          <t>Chief Financial Officer</t>
        </is>
      </c>
      <c r="D80" t="inlineStr">
        <is>
          <t>UPL</t>
        </is>
      </c>
      <c r="E80" t="inlineStr">
        <is>
          <t>kadammj@upl-ltd.com</t>
        </is>
      </c>
      <c r="F80" t="n">
        <v>12000</v>
      </c>
      <c r="G80" t="inlineStr">
        <is>
          <t>farming</t>
        </is>
      </c>
      <c r="H80" t="inlineStr">
        <is>
          <t>http://www.linkedin.com/in/mandar-kadam-b9909243</t>
        </is>
      </c>
      <c r="I80" t="inlineStr">
        <is>
          <t>https://upl-ltd.com</t>
        </is>
      </c>
      <c r="J80" t="inlineStr">
        <is>
          <t>Altrincham</t>
        </is>
      </c>
      <c r="K80" t="inlineStr">
        <is>
          <t>England</t>
        </is>
      </c>
      <c r="L80" t="inlineStr">
        <is>
          <t>United Kingdom</t>
        </is>
      </c>
      <c r="M80" t="n">
        <v>5508517000</v>
      </c>
      <c r="N80" s="2" t="n">
        <v>90</v>
      </c>
      <c r="O80" s="2" t="inlineStr">
        <is>
          <t>A - Hot</t>
        </is>
      </c>
      <c r="P80" t="inlineStr">
        <is>
          <t>Tier 1 - C-Suite/Founder</t>
        </is>
      </c>
      <c r="Q80" t="inlineStr">
        <is>
          <t>C-Suite/Founder / Ops/Tech/Finance/Commercial</t>
        </is>
      </c>
      <c r="R80" t="inlineStr"/>
      <c r="S80" s="3" t="inlineStr">
        <is>
          <t>Hi Mandar, I work with farming leaders on recovering margin leakage and freeing working capital trapped in inventory — lightweight AI that plugs into the ERP you already run. Given your seat at UPL, thought it was worth connecting.</t>
        </is>
      </c>
      <c r="T80" s="3" t="inlineStr">
        <is>
          <t>Appreciate the connect, Mandar. One idea for UPL: procurement price forecasting and supply planning connected to your ERP. It runs alongside your current ERP, so there's no migration risk — just one contained pilot. Happy to share how similar teams structure it.</t>
        </is>
      </c>
      <c r="U80" s="3" t="inlineStr">
        <is>
          <t>Mandar, I'll leave this here rather than keep nudging — if volatile procurement prices and manual arrival planning ever climbs the priority list at UPL, a 15-minute call is all it takes to see if there's a fit. Either way, good luck this quarter.</t>
        </is>
      </c>
      <c r="V80" t="inlineStr">
        <is>
          <t>Volatile procurement prices at UPL?</t>
        </is>
      </c>
      <c r="W80" s="3" t="inlineStr">
        <is>
          <t>Hi Mandar,
As Chief Financial Officer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UPL?
Best,
{{SENDER_NAME}}
{{SENDER_EMAIL}} | Book directly: {{CALENDLY_URL}}
P.S. If this isn't relevant, reply "no thanks" and I won't follow up again.</t>
        </is>
      </c>
      <c r="X80" t="inlineStr">
        <is>
          <t>Re: one small AI use case for UPL</t>
        </is>
      </c>
      <c r="Y80" s="3" t="inlineStr">
        <is>
          <t>Hi Mandar,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80" t="inlineStr">
        <is>
          <t>Should I stay or should I go, Mandar?</t>
        </is>
      </c>
      <c r="AA80" s="3" t="inlineStr">
        <is>
          <t>Hi Mandar,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80" t="inlineStr">
        <is>
          <t>Draft</t>
        </is>
      </c>
      <c r="AC80" t="n">
        <v>0</v>
      </c>
      <c r="AD80" t="inlineStr"/>
      <c r="AE80" t="inlineStr"/>
      <c r="AF80" t="inlineStr"/>
    </row>
    <row r="81">
      <c r="A81" t="inlineStr">
        <is>
          <t>Dhara</t>
        </is>
      </c>
      <c r="B81" t="inlineStr">
        <is>
          <t>Chhapia</t>
        </is>
      </c>
      <c r="C81" t="inlineStr">
        <is>
          <t>Chief Financial Officer</t>
        </is>
      </c>
      <c r="D81" t="inlineStr">
        <is>
          <t>Gokul Agro Resources Ltd.</t>
        </is>
      </c>
      <c r="E81" t="inlineStr">
        <is>
          <t>dhara.chhapia@gokulagro.com</t>
        </is>
      </c>
      <c r="F81" t="n">
        <v>840</v>
      </c>
      <c r="G81" t="inlineStr">
        <is>
          <t>food production</t>
        </is>
      </c>
      <c r="H81" t="inlineStr">
        <is>
          <t>http://www.linkedin.com/in/dhara-chhapia-13a54a145</t>
        </is>
      </c>
      <c r="I81" t="inlineStr">
        <is>
          <t>https://gokulagro.com</t>
        </is>
      </c>
      <c r="J81" t="inlineStr">
        <is>
          <t>Ahmedabad</t>
        </is>
      </c>
      <c r="K81" t="inlineStr">
        <is>
          <t>Gujarat</t>
        </is>
      </c>
      <c r="L81" t="inlineStr">
        <is>
          <t>India</t>
        </is>
      </c>
      <c r="M81" t="n">
        <v>2311212000</v>
      </c>
      <c r="N81" s="2" t="n">
        <v>90</v>
      </c>
      <c r="O81" s="2" t="inlineStr">
        <is>
          <t>A - Hot</t>
        </is>
      </c>
      <c r="P81" t="inlineStr">
        <is>
          <t>Tier 1 - C-Suite/Founder</t>
        </is>
      </c>
      <c r="Q81" t="inlineStr">
        <is>
          <t>C-Suite/Founder / Ops/Tech/Finance/Commercial</t>
        </is>
      </c>
      <c r="R81" t="inlineStr"/>
      <c r="S81" s="3" t="inlineStr">
        <is>
          <t>Hi Dhara, we help teams like Gokul Agro Resources Ltd.'s tackle batch-to-batch yield swings and manual quality paperwork with AI add-ons to their existing ERP — no replatforming. Keen to connect and swap notes.</t>
        </is>
      </c>
      <c r="T81" s="3" t="inlineStr">
        <is>
          <t>Thanks for connecting, Dhara. Quick context: we ship yield prediction and QC anomaly detection fed by your ERP batch data. Teams typically start with one narrow use case and see results in weeks, not an ERP-project timeline. Worth a short look for Gokul Agro Resources Ltd.?</t>
        </is>
      </c>
      <c r="U81" s="3" t="inlineStr">
        <is>
          <t>Dhara, closing the loop so I'm not another unread ping. If it's useful, I can send a one-pager on yield prediction and QC anomaly detection fed by your ERP batch data for Gokul Agro Resources Ltd. — zero meetings needed. Just say the word.</t>
        </is>
      </c>
      <c r="V81" t="inlineStr">
        <is>
          <t>AI on top of Gokul Agro Resources Ltd.'s ERP — one small use case</t>
        </is>
      </c>
      <c r="W81" s="3" t="inlineStr">
        <is>
          <t>Hi Dhara,
As Chief Financial Officer at Gokul Agro Resources Ltd.,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Gokul Agro Resources Ltd.?
Best,
{{SENDER_NAME}}
{{SENDER_EMAIL}} | Book directly: {{CALENDLY_URL}}
P.S. If this isn't relevant, reply "no thanks" and I won't follow up again.</t>
        </is>
      </c>
      <c r="X81" t="inlineStr">
        <is>
          <t>Dhara — the 3-week pilot version</t>
        </is>
      </c>
      <c r="Y81" s="3" t="inlineStr">
        <is>
          <t>Hi Dhara,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81" t="inlineStr">
        <is>
          <t>Closing the loop, Dhara</t>
        </is>
      </c>
      <c r="AA81" s="3" t="inlineStr">
        <is>
          <t>Hi Dhara,
I'll close the loop here — inbox zero is sacred.
If batch-to-batch yield swings and manual quality paperwork becomes a priority at Gokul Agro Resources Ltd.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81" t="inlineStr">
        <is>
          <t>Draft</t>
        </is>
      </c>
      <c r="AC81" t="n">
        <v>0</v>
      </c>
      <c r="AD81" t="inlineStr"/>
      <c r="AE81" t="inlineStr"/>
      <c r="AF81" t="inlineStr"/>
    </row>
    <row r="82">
      <c r="A82" t="inlineStr">
        <is>
          <t>Sukhjeet</t>
        </is>
      </c>
      <c r="B82" t="inlineStr">
        <is>
          <t>Chahal</t>
        </is>
      </c>
      <c r="C82" t="inlineStr">
        <is>
          <t>AVP - Finance and Taxation</t>
        </is>
      </c>
      <c r="D82" t="inlineStr">
        <is>
          <t>FirstCry.com (BrainBees Solutions Ltd.)</t>
        </is>
      </c>
      <c r="E82" t="inlineStr">
        <is>
          <t>sukhjeet.singh@firstcry.com</t>
        </is>
      </c>
      <c r="F82" t="n">
        <v>5400</v>
      </c>
      <c r="G82" t="inlineStr">
        <is>
          <t>retail</t>
        </is>
      </c>
      <c r="H82" t="inlineStr">
        <is>
          <t>http://www.linkedin.com/in/sukhjeet-singh-chahal-5883114a</t>
        </is>
      </c>
      <c r="I82" t="inlineStr">
        <is>
          <t>https://firstcry.com</t>
        </is>
      </c>
      <c r="J82" t="inlineStr">
        <is>
          <t>Pune</t>
        </is>
      </c>
      <c r="K82" t="inlineStr">
        <is>
          <t>Maharashtra</t>
        </is>
      </c>
      <c r="L82" t="inlineStr">
        <is>
          <t>India</t>
        </is>
      </c>
      <c r="M82" t="n">
        <v>685487000</v>
      </c>
      <c r="N82" s="2" t="n">
        <v>90</v>
      </c>
      <c r="O82" s="2" t="inlineStr">
        <is>
          <t>A - Hot</t>
        </is>
      </c>
      <c r="P82" t="inlineStr">
        <is>
          <t>Tier 2 - VP</t>
        </is>
      </c>
      <c r="Q82" t="inlineStr">
        <is>
          <t>VP / Ops/Tech/Finance/Commercial</t>
        </is>
      </c>
      <c r="R82" t="inlineStr"/>
      <c r="S82" s="3" t="inlineStr">
        <is>
          <t>Hi Sukhjeet, your work as AVP - Finance and Taxation at FirstCry.com (BrainBees Solutions Ltd.) caught my eye. We build small AI use cases that sit on top of existing ERPs — think recovering margin leakage and freeing working capital trapped in inventory. Would be glad to connect.</t>
        </is>
      </c>
      <c r="T82" s="3" t="inlineStr">
        <is>
          <t>Glad to be connected, Sukhjeet. Most retail teams we meet struggle with stockouts and excess inventory that the ERP reports only after the fact. We fix exactly that with SKU-level demand forecasting and auto-replenishment on top of your ERP. Open to a 15-minute walkthrough?</t>
        </is>
      </c>
      <c r="U82" s="3" t="inlineStr">
        <is>
          <t>Last note from me, Sukhjeet — timing is everything with these projects. If an AI-on-ERP pilot becomes relevant at FirstCry.com (BrainBees Solutions Ltd.) later, my line's open. Wishing you a strong quarter.</t>
        </is>
      </c>
      <c r="V82" t="inlineStr">
        <is>
          <t>AI on top of FirstCry.com (BrainBees Solutions Ltd.)'s ERP — one small use case</t>
        </is>
      </c>
      <c r="W82" s="3" t="inlineStr">
        <is>
          <t>Hi Sukhjeet,
As AVP - Finance and Taxation at FirstCry.com (BrainBees Solutions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FirstCry.com (BrainBees Solutions Ltd.)?
Best,
{{SENDER_NAME}}
{{SENDER_EMAIL}} | Book directly: {{CALENDLY_URL}}
P.S. If this isn't relevant, reply "no thanks" and I won't follow up again.</t>
        </is>
      </c>
      <c r="X82" t="inlineStr">
        <is>
          <t>How teams like FirstCry.com (BrainBees Solutions Ltd.) start with AI on ERP</t>
        </is>
      </c>
      <c r="Y82" s="3" t="inlineStr">
        <is>
          <t>Hi Sukhjeet,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82" t="inlineStr">
        <is>
          <t>Last note — AI on ERP at FirstCry.com (BrainBees Solutions Ltd.)</t>
        </is>
      </c>
      <c r="AA82" s="3" t="inlineStr">
        <is>
          <t>Hi Sukhjeet,
I'll close the loop here — inbox zero is sacred.
If stockouts and excess inventory that the ERP reports only after the fact becomes a priority at FirstCry.com (BrainBees Solutions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82" t="inlineStr">
        <is>
          <t>Draft</t>
        </is>
      </c>
      <c r="AC82" t="n">
        <v>0</v>
      </c>
      <c r="AD82" t="inlineStr"/>
      <c r="AE82" t="inlineStr"/>
      <c r="AF82" t="inlineStr"/>
    </row>
    <row r="83">
      <c r="A83" t="inlineStr">
        <is>
          <t>Arvind</t>
        </is>
      </c>
      <c r="B83" t="inlineStr">
        <is>
          <t>Jain</t>
        </is>
      </c>
      <c r="C83" t="inlineStr">
        <is>
          <t>Vice President of Commercial Operations</t>
        </is>
      </c>
      <c r="D83" t="inlineStr">
        <is>
          <t>Elspec India</t>
        </is>
      </c>
      <c r="E83" t="inlineStr">
        <is>
          <t>arvind@elspec.in</t>
        </is>
      </c>
      <c r="F83" t="n">
        <v>12</v>
      </c>
      <c r="G83" t="inlineStr">
        <is>
          <t>retail</t>
        </is>
      </c>
      <c r="H83" t="inlineStr">
        <is>
          <t>http://www.linkedin.com/in/arvind-jain-9968bb1a3</t>
        </is>
      </c>
      <c r="I83" t="inlineStr">
        <is>
          <t>https://elspec-ltd.com</t>
        </is>
      </c>
      <c r="J83" t="inlineStr">
        <is>
          <t>Indore</t>
        </is>
      </c>
      <c r="K83" t="inlineStr">
        <is>
          <t>Madhya Pradesh</t>
        </is>
      </c>
      <c r="L83" t="inlineStr">
        <is>
          <t>India</t>
        </is>
      </c>
      <c r="M83" t="n">
        <v>40151000</v>
      </c>
      <c r="N83" s="4" t="n">
        <v>89</v>
      </c>
      <c r="O83" s="4" t="inlineStr">
        <is>
          <t>B - Warm</t>
        </is>
      </c>
      <c r="P83" t="inlineStr">
        <is>
          <t>Tier 1 - C-Suite/Founder</t>
        </is>
      </c>
      <c r="Q83" t="inlineStr">
        <is>
          <t>C-Suite/Founder / Ops/Tech/Finance/Commercial</t>
        </is>
      </c>
      <c r="R83" t="inlineStr"/>
      <c r="S83" s="3" t="inlineStr">
        <is>
          <t>Hi Arvind, we help teams like Elspec India's tackle stockouts and excess inventory that the ERP reports only after the fact with AI add-ons to their existing ERP — no replatforming. Keen to connect and swap notes.</t>
        </is>
      </c>
      <c r="T83" s="3" t="inlineStr">
        <is>
          <t>Thanks for connecting, Arvind. Quick context: we ship SKU-level demand forecasting and auto-replenishment on top of your ERP. Teams typically start with one narrow use case and see results in weeks, not an ERP-project timeline. Worth a short look for Elspec India?</t>
        </is>
      </c>
      <c r="U83" s="3" t="inlineStr">
        <is>
          <t>Arvind, I'll leave this here rather than keep nudging — if stockouts and excess inventory that the ERP reports only after the fact ever climbs the priority list at Elspec India, a 15-minute call is all it takes to see if there's a fit. Either way, good luck this quarter.</t>
        </is>
      </c>
      <c r="V83" t="inlineStr">
        <is>
          <t>Stockouts at Elspec India?</t>
        </is>
      </c>
      <c r="W83" s="3" t="inlineStr">
        <is>
          <t>Hi Arvind,
As Vice President of Commercial Operations at Elspec India,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Elspec India?
Best,
{{SENDER_NAME}}
{{SENDER_EMAIL}} | Book directly: {{CALENDLY_URL}}
P.S. If this isn't relevant, reply "no thanks" and I won't follow up again.</t>
        </is>
      </c>
      <c r="X83" t="inlineStr">
        <is>
          <t>Arvind — the 3-week pilot version</t>
        </is>
      </c>
      <c r="Y83" s="3" t="inlineStr">
        <is>
          <t>Hi Arvind,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83" t="inlineStr">
        <is>
          <t>Closing the loop, Arvind</t>
        </is>
      </c>
      <c r="AA83" s="3" t="inlineStr">
        <is>
          <t>Hi Arvind,
I'll close the loop here — inbox zero is sacred.
If stockouts and excess inventory that the ERP reports only after the fact becomes a priority at Elspec India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83" t="inlineStr">
        <is>
          <t>Draft</t>
        </is>
      </c>
      <c r="AC83" t="n">
        <v>0</v>
      </c>
      <c r="AD83" t="inlineStr"/>
      <c r="AE83" t="inlineStr"/>
      <c r="AF83" t="inlineStr"/>
    </row>
    <row r="84">
      <c r="A84" t="inlineStr">
        <is>
          <t>Shobhit</t>
        </is>
      </c>
      <c r="B84" t="inlineStr">
        <is>
          <t>Singh</t>
        </is>
      </c>
      <c r="C84" t="inlineStr">
        <is>
          <t>Managing Director &amp; CEO</t>
        </is>
      </c>
      <c r="D84" t="inlineStr">
        <is>
          <t>The Stone Sapphire</t>
        </is>
      </c>
      <c r="E84" t="inlineStr">
        <is>
          <t>shobhit@stonesapphire.com</t>
        </is>
      </c>
      <c r="F84" t="n">
        <v>120</v>
      </c>
      <c r="G84" t="inlineStr">
        <is>
          <t>retail</t>
        </is>
      </c>
      <c r="H84" t="inlineStr">
        <is>
          <t>http://www.linkedin.com/in/shobhit-singh-skoodle</t>
        </is>
      </c>
      <c r="I84" t="inlineStr">
        <is>
          <t>https://stonesapphire.com</t>
        </is>
      </c>
      <c r="J84" t="inlineStr">
        <is>
          <t>Vadodara</t>
        </is>
      </c>
      <c r="K84" t="inlineStr">
        <is>
          <t>Gujarat</t>
        </is>
      </c>
      <c r="L84" t="inlineStr">
        <is>
          <t>India</t>
        </is>
      </c>
      <c r="M84" t="n">
        <v>48000000</v>
      </c>
      <c r="N84" s="4" t="n">
        <v>89</v>
      </c>
      <c r="O84" s="4" t="inlineStr">
        <is>
          <t>B - Warm</t>
        </is>
      </c>
      <c r="P84" t="inlineStr">
        <is>
          <t>Tier 1 - C-Suite/Founder</t>
        </is>
      </c>
      <c r="Q84" t="inlineStr">
        <is>
          <t>C-Suite/Founder / General management</t>
        </is>
      </c>
      <c r="R84" t="inlineStr"/>
      <c r="S84" s="3" t="inlineStr">
        <is>
          <t>Hi Shobhit, we help teams like The Stone Sapphire's tackle stockouts and excess inventory that the ERP reports only after the fact with AI add-ons to their existing ERP — no replatforming. Keen to connect and swap notes.</t>
        </is>
      </c>
      <c r="T84" s="3" t="inlineStr">
        <is>
          <t>Glad to be connected, Shobhit. Most retail teams we meet struggle with stockouts and excess inventory that the ERP reports only after the fact. We fix exactly that with SKU-level demand forecasting and auto-replenishment on top of your ERP. Open to a 15-minute walkthrough?</t>
        </is>
      </c>
      <c r="U84" s="3" t="inlineStr">
        <is>
          <t>Shobhit, I'll leave this here rather than keep nudging — if stockouts and excess inventory that the ERP reports only after the fact ever climbs the priority list at The Stone Sapphire, a 15-minute call is all it takes to see if there's a fit. Either way, good luck this quarter.</t>
        </is>
      </c>
      <c r="V84" t="inlineStr">
        <is>
          <t>Shobhit, a faster fix for stockouts</t>
        </is>
      </c>
      <c r="W84" s="3" t="inlineStr">
        <is>
          <t>Hi Shobhit,
As Managing Director &amp; CEO at The Stone Sapphire,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The Stone Sapphire?
Best,
{{SENDER_NAME}}
{{SENDER_EMAIL}} | Book directly: {{CALENDLY_URL}}
P.S. If this isn't relevant, reply "no thanks" and I won't follow up again.</t>
        </is>
      </c>
      <c r="X84" t="inlineStr">
        <is>
          <t>Re: one small AI use case for The Stone Sapphire</t>
        </is>
      </c>
      <c r="Y84" s="3" t="inlineStr">
        <is>
          <t>Hi Shobhit,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84" t="inlineStr">
        <is>
          <t>Closing the loop, Shobhit</t>
        </is>
      </c>
      <c r="AA84" s="3" t="inlineStr">
        <is>
          <t>Hi Shobhit,
I'll close the loop here — inbox zero is sacred.
If stockouts and excess inventory that the ERP reports only after the fact becomes a priority at The Stone Sapphire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84" t="inlineStr">
        <is>
          <t>Draft</t>
        </is>
      </c>
      <c r="AC84" t="n">
        <v>0</v>
      </c>
      <c r="AD84" t="inlineStr"/>
      <c r="AE84" t="inlineStr"/>
      <c r="AF84" t="inlineStr"/>
    </row>
    <row r="85">
      <c r="A85" t="inlineStr">
        <is>
          <t>KK</t>
        </is>
      </c>
      <c r="B85" t="inlineStr">
        <is>
          <t>Lalpuria</t>
        </is>
      </c>
      <c r="C85" t="inlineStr">
        <is>
          <t>Executive Director &amp; CEO</t>
        </is>
      </c>
      <c r="D85" t="inlineStr">
        <is>
          <t>Indo Count Industries Limited</t>
        </is>
      </c>
      <c r="E85" t="inlineStr">
        <is>
          <t>kklalpuria@indocount.com</t>
        </is>
      </c>
      <c r="F85" t="n">
        <v>3700</v>
      </c>
      <c r="G85" t="inlineStr">
        <is>
          <t>textiles</t>
        </is>
      </c>
      <c r="H85" t="inlineStr">
        <is>
          <t>http://www.linkedin.com/in/kk-lalpuria-56b91726</t>
        </is>
      </c>
      <c r="I85" t="inlineStr">
        <is>
          <t>https://indocount.com</t>
        </is>
      </c>
      <c r="J85" t="inlineStr">
        <is>
          <t>Mumbai</t>
        </is>
      </c>
      <c r="K85" t="inlineStr">
        <is>
          <t>Maharashtra</t>
        </is>
      </c>
      <c r="L85" t="inlineStr">
        <is>
          <t>India</t>
        </is>
      </c>
      <c r="M85" t="n">
        <v>490802000</v>
      </c>
      <c r="N85" s="4" t="n">
        <v>89</v>
      </c>
      <c r="O85" s="4" t="inlineStr">
        <is>
          <t>B - Warm</t>
        </is>
      </c>
      <c r="P85" t="inlineStr">
        <is>
          <t>Tier 1 - C-Suite/Founder</t>
        </is>
      </c>
      <c r="Q85" t="inlineStr">
        <is>
          <t>C-Suite/Founder / General management</t>
        </is>
      </c>
      <c r="R85" t="inlineStr"/>
      <c r="S85" s="3" t="inlineStr">
        <is>
          <t>Hi KK, your work as Executive Director &amp; CEO at Indo Count Industries Limited caught my eye. We build small AI use cases that sit on top of existing ERPs — think adding AI capability without any rip-and-replace of the current ERP. Would be glad to connect.</t>
        </is>
      </c>
      <c r="T85" s="3" t="inlineStr">
        <is>
          <t>Glad to be connected, KK. Most textiles teams we meet struggle with delivery-date slippage and yarn/greige inventory pile-ups. We fix exactly that with production scheduling and order-to-dispatch tracking layered on your ERP. Open to a 15-minute walkthrough?</t>
        </is>
      </c>
      <c r="U85" s="3" t="inlineStr">
        <is>
          <t>KK, closing the loop so I'm not another unread ping. If it's useful, I can send a one-pager on production scheduling and order-to-dispatch tracking layered on your ERP for Indo Count Industries Limited — zero meetings needed. Just say the word.</t>
        </is>
      </c>
      <c r="V85" t="inlineStr">
        <is>
          <t>Delivery-date slippage at Indo Count Industries Limited?</t>
        </is>
      </c>
      <c r="W85" s="3" t="inlineStr">
        <is>
          <t>Hi KK,
As Executive Director &amp; CEO at Indo Count Industries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Indo Count Industries Limited?
Best,
{{SENDER_NAME}}
{{SENDER_EMAIL}} | Book directly: {{CALENDLY_URL}}
P.S. If this isn't relevant, reply "no thanks" and I won't follow up again.</t>
        </is>
      </c>
      <c r="X85" t="inlineStr">
        <is>
          <t>How teams like Indo Count Industries Limited start with AI on ERP</t>
        </is>
      </c>
      <c r="Y85" s="3" t="inlineStr">
        <is>
          <t>Hi KK,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85" t="inlineStr">
        <is>
          <t>Closing the loop, KK</t>
        </is>
      </c>
      <c r="AA85" s="3" t="inlineStr">
        <is>
          <t>Hi KK,
I'll close the loop here — inbox zero is sacred.
If delivery-date slippage and yarn/greige inventory pile-ups becomes a priority at Indo Count Industries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85" t="inlineStr">
        <is>
          <t>Draft</t>
        </is>
      </c>
      <c r="AC85" t="n">
        <v>0</v>
      </c>
      <c r="AD85" t="inlineStr"/>
      <c r="AE85" t="inlineStr"/>
      <c r="AF85" t="inlineStr"/>
    </row>
    <row r="86">
      <c r="A86" t="inlineStr">
        <is>
          <t>Bhagyashree</t>
        </is>
      </c>
      <c r="B86" t="inlineStr">
        <is>
          <t>Navare</t>
        </is>
      </c>
      <c r="C86" t="inlineStr">
        <is>
          <t>Vice President Innovation Packaged Foods and Brand Equity Lead Tata Salt</t>
        </is>
      </c>
      <c r="D86" t="inlineStr">
        <is>
          <t>Tata Consumer Products</t>
        </is>
      </c>
      <c r="E86" t="inlineStr">
        <is>
          <t>bhagyashree.navare@tataconsumer.com</t>
        </is>
      </c>
      <c r="F86" t="n">
        <v>9100</v>
      </c>
      <c r="G86" t="inlineStr">
        <is>
          <t>food &amp; beverages</t>
        </is>
      </c>
      <c r="H86" t="inlineStr">
        <is>
          <t>http://www.linkedin.com/in/bhagyashree-s-navare-1b445a13a</t>
        </is>
      </c>
      <c r="I86" t="inlineStr">
        <is>
          <t>https://tataconsumer.com</t>
        </is>
      </c>
      <c r="J86" t="inlineStr">
        <is>
          <t>Mumbai</t>
        </is>
      </c>
      <c r="K86" t="inlineStr">
        <is>
          <t>Maharashtra</t>
        </is>
      </c>
      <c r="L86" t="inlineStr">
        <is>
          <t>India</t>
        </is>
      </c>
      <c r="M86" t="n">
        <v>2083650000</v>
      </c>
      <c r="N86" s="4" t="n">
        <v>89</v>
      </c>
      <c r="O86" s="4" t="inlineStr">
        <is>
          <t>B - Warm</t>
        </is>
      </c>
      <c r="P86" t="inlineStr">
        <is>
          <t>Tier 1 - C-Suite/Founder</t>
        </is>
      </c>
      <c r="Q86" t="inlineStr">
        <is>
          <t>C-Suite/Founder / Sales/Marketing</t>
        </is>
      </c>
      <c r="R86" t="inlineStr"/>
      <c r="S86" s="3" t="inlineStr">
        <is>
          <t>Hi Bhagyashree, your work as Vice President Innovation Packaged Foods and Brand Equity Lead Tata Salt at Tata Consumer Products caught my eye. We build small AI use cases that sit on top of existing ERPs — think measurable margin and working-capital gains within a quarter. Would be glad to connect.</t>
        </is>
      </c>
      <c r="T86" s="3" t="inlineStr">
        <is>
          <t>Thanks for connecting, Bhagyashree. Quick context: we ship expiry-aware replenishment and wastage prediction wired into your ERP. Teams typically start with one narrow use case and see results in weeks, not an ERP-project timeline. Worth a short look for Tata Consumer Products?</t>
        </is>
      </c>
      <c r="U86" s="3" t="inlineStr">
        <is>
          <t>Last note from me, Bhagyashree — timing is everything with these projects. If an AI-on-ERP pilot becomes relevant at Tata Consumer Products later, my line's open. Wishing you a strong quarter.</t>
        </is>
      </c>
      <c r="V86" t="inlineStr">
        <is>
          <t>AI on top of Tata Consumer Products's ERP — one small use case</t>
        </is>
      </c>
      <c r="W86" s="3" t="inlineStr">
        <is>
          <t>Hi Bhagyashree,
As Vice President Innovation Packaged Foods and Brand Equity Lead Tata Salt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Tata Consumer Products?
Best,
{{SENDER_NAME}}
{{SENDER_EMAIL}} | Book directly: {{CALENDLY_URL}}
P.S. If this isn't relevant, reply "no thanks" and I won't follow up again.</t>
        </is>
      </c>
      <c r="X86" t="inlineStr">
        <is>
          <t>Bhagyashree — the 3-week pilot version</t>
        </is>
      </c>
      <c r="Y86" s="3" t="inlineStr">
        <is>
          <t>Hi Bhagyashree,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86" t="inlineStr">
        <is>
          <t>Should I stay or should I go, Bhagyashree?</t>
        </is>
      </c>
      <c r="AA86" s="3" t="inlineStr">
        <is>
          <t>Hi Bhagyashree,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86" t="inlineStr">
        <is>
          <t>Draft</t>
        </is>
      </c>
      <c r="AC86" t="n">
        <v>0</v>
      </c>
      <c r="AD86" t="inlineStr"/>
      <c r="AE86" t="inlineStr"/>
      <c r="AF86" t="inlineStr"/>
    </row>
    <row r="87">
      <c r="A87" t="inlineStr">
        <is>
          <t>Zaheer</t>
        </is>
      </c>
      <c r="B87" t="inlineStr">
        <is>
          <t>Ahmed</t>
        </is>
      </c>
      <c r="C87" t="inlineStr">
        <is>
          <t>Chief Operating Officer (COO - Processing) for Home Textiles &amp; Knits Units</t>
        </is>
      </c>
      <c r="D87" t="inlineStr">
        <is>
          <t>Gul Ahmed Textile Mills Limited</t>
        </is>
      </c>
      <c r="E87" t="inlineStr">
        <is>
          <t>zaheer.ahmed@gulahmed.com</t>
        </is>
      </c>
      <c r="F87" t="n">
        <v>19000</v>
      </c>
      <c r="G87" t="inlineStr">
        <is>
          <t>textiles</t>
        </is>
      </c>
      <c r="H87" t="inlineStr">
        <is>
          <t>http://www.linkedin.com/in/zaheer-ahmed-679084161</t>
        </is>
      </c>
      <c r="I87" t="inlineStr">
        <is>
          <t>https://gulahmed.com</t>
        </is>
      </c>
      <c r="J87" t="inlineStr">
        <is>
          <t>Karachi</t>
        </is>
      </c>
      <c r="K87" t="inlineStr">
        <is>
          <t>Sindh</t>
        </is>
      </c>
      <c r="L87" t="inlineStr">
        <is>
          <t>Pakistan</t>
        </is>
      </c>
      <c r="M87" t="n">
        <v>620000000</v>
      </c>
      <c r="N87" s="4" t="n">
        <v>89</v>
      </c>
      <c r="O87" s="4" t="inlineStr">
        <is>
          <t>B - Warm</t>
        </is>
      </c>
      <c r="P87" t="inlineStr">
        <is>
          <t>Tier 1 - C-Suite/Founder</t>
        </is>
      </c>
      <c r="Q87" t="inlineStr">
        <is>
          <t>C-Suite/Founder / General management</t>
        </is>
      </c>
      <c r="R87" t="inlineStr"/>
      <c r="S87" s="3" t="inlineStr">
        <is>
          <t>Hi Zaheer, your work as Chief Operating Officer (COO - Processing) for Home Textiles &amp; Knits Units at Gul Ahmed Textile Mills Limited caught my eye. We build small AI use cases that sit on top of existing ERPs — think measurable margin and working-capital gains within a quarter. Would be glad to...</t>
        </is>
      </c>
      <c r="T87" s="3" t="inlineStr">
        <is>
          <t>Thanks for connecting, Zaheer. Quick context: we ship production scheduling and order-to-dispatch tracking layered on your ERP. Teams typically start with one narrow use case and see results in weeks, not an ERP-project timeline. Worth a short look for Gul Ahmed Textile Mills Limited?</t>
        </is>
      </c>
      <c r="U87" s="3" t="inlineStr">
        <is>
          <t>Zaheer, closing the loop so I'm not another unread ping. If it's useful, I can send a one-pager on production scheduling and order-to-dispatch tracking layered on your ERP for Gul Ahmed Textile Mills Limited — zero meetings needed. Just say the word.</t>
        </is>
      </c>
      <c r="V87" t="inlineStr">
        <is>
          <t>Delivery-date slippage at Gul Ahmed Textile Mills Limited?</t>
        </is>
      </c>
      <c r="W87" s="3" t="inlineStr">
        <is>
          <t>Hi Zaheer,
As Chief Operating Officer (COO - Processing) for Home Textiles &amp; Knits Units at Gul Ahmed Textile Mills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Gul Ahmed Textile Mills Limited?
Best,
{{SENDER_NAME}}
{{SENDER_EMAIL}} | Book directly: {{CALENDLY_URL}}
P.S. If this isn't relevant, reply "no thanks" and I won't follow up again.</t>
        </is>
      </c>
      <c r="X87" t="inlineStr">
        <is>
          <t>Zaheer — the 3-week pilot version</t>
        </is>
      </c>
      <c r="Y87" s="3" t="inlineStr">
        <is>
          <t>Hi Zaheer,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87" t="inlineStr">
        <is>
          <t>Should I stay or should I go, Zaheer?</t>
        </is>
      </c>
      <c r="AA87" s="3" t="inlineStr">
        <is>
          <t>Hi Zaheer,
I'll close the loop here — inbox zero is sacred.
If delivery-date slippage and yarn/greige inventory pile-ups becomes a priority at Gul Ahmed Textile Mills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87" t="inlineStr">
        <is>
          <t>Draft</t>
        </is>
      </c>
      <c r="AC87" t="n">
        <v>0</v>
      </c>
      <c r="AD87" t="inlineStr"/>
      <c r="AE87" t="inlineStr"/>
      <c r="AF87" t="inlineStr"/>
    </row>
    <row r="88">
      <c r="A88" t="inlineStr">
        <is>
          <t>Pushpak</t>
        </is>
      </c>
      <c r="B88" t="inlineStr">
        <is>
          <t>Bansal</t>
        </is>
      </c>
      <c r="C88" t="inlineStr">
        <is>
          <t>CFO</t>
        </is>
      </c>
      <c r="D88" t="inlineStr">
        <is>
          <t>Deesan Group</t>
        </is>
      </c>
      <c r="E88" t="inlineStr">
        <is>
          <t>pushpak@deesangroup.com</t>
        </is>
      </c>
      <c r="F88" t="n">
        <v>15000</v>
      </c>
      <c r="G88" t="inlineStr">
        <is>
          <t>textiles</t>
        </is>
      </c>
      <c r="H88" t="inlineStr">
        <is>
          <t>http://www.linkedin.com/in/pushpak-bansal-83978068</t>
        </is>
      </c>
      <c r="I88" t="inlineStr">
        <is>
          <t>https://deesangroup.com</t>
        </is>
      </c>
      <c r="J88" t="inlineStr">
        <is>
          <t>Mumbai</t>
        </is>
      </c>
      <c r="K88" t="inlineStr">
        <is>
          <t>Maharashtra</t>
        </is>
      </c>
      <c r="L88" t="inlineStr">
        <is>
          <t>India</t>
        </is>
      </c>
      <c r="M88" t="n">
        <v>329000000</v>
      </c>
      <c r="N88" s="4" t="n">
        <v>89</v>
      </c>
      <c r="O88" s="4" t="inlineStr">
        <is>
          <t>B - Warm</t>
        </is>
      </c>
      <c r="P88" t="inlineStr">
        <is>
          <t>Tier 1 - C-Suite/Founder</t>
        </is>
      </c>
      <c r="Q88" t="inlineStr">
        <is>
          <t>C-Suite/Founder / General management</t>
        </is>
      </c>
      <c r="R88" t="inlineStr"/>
      <c r="S88" s="3" t="inlineStr">
        <is>
          <t>Hi Pushpak, I work with textiles leaders on recovering margin leakage and freeing working capital trapped in inventory — lightweight AI that plugs into the ERP you already run. Given your seat at Deesan Group, thought it was worth connecting.</t>
        </is>
      </c>
      <c r="T88" s="3" t="inlineStr">
        <is>
          <t>Thanks for connecting, Pushpak. Quick context: we ship production scheduling and order-to-dispatch tracking layered on your ERP. Teams typically start with one narrow use case and see results in weeks, not an ERP-project timeline. Worth a short look for Deesan Group?</t>
        </is>
      </c>
      <c r="U88" s="3" t="inlineStr">
        <is>
          <t>Last note from me, Pushpak — timing is everything with these projects. If an AI-on-ERP pilot becomes relevant at Deesan Group later, my line's open. Wishing you a strong quarter.</t>
        </is>
      </c>
      <c r="V88" t="inlineStr">
        <is>
          <t>AI on top of Deesan Group's ERP — one small use case</t>
        </is>
      </c>
      <c r="W88" s="3" t="inlineStr">
        <is>
          <t>Hi Pushpak,
As CFO at Deesan Group,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Deesan Group?
Best,
{{SENDER_NAME}}
{{SENDER_EMAIL}} | Book directly: {{CALENDLY_URL}}
P.S. If this isn't relevant, reply "no thanks" and I won't follow up again.</t>
        </is>
      </c>
      <c r="X88" t="inlineStr">
        <is>
          <t>How teams like Deesan Group start with AI on ERP</t>
        </is>
      </c>
      <c r="Y88" s="3" t="inlineStr">
        <is>
          <t>Hi Pushpak,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88" t="inlineStr">
        <is>
          <t>Closing the loop, Pushpak</t>
        </is>
      </c>
      <c r="AA88" s="3" t="inlineStr">
        <is>
          <t>Hi Pushpak,
I'll close the loop here — inbox zero is sacred.
If delivery-date slippage and yarn/greige inventory pile-ups becomes a priority at Deesan Group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88" t="inlineStr">
        <is>
          <t>Draft</t>
        </is>
      </c>
      <c r="AC88" t="n">
        <v>0</v>
      </c>
      <c r="AD88" t="inlineStr"/>
      <c r="AE88" t="inlineStr"/>
      <c r="AF88" t="inlineStr"/>
    </row>
    <row r="89">
      <c r="A89" t="inlineStr">
        <is>
          <t>Karan</t>
        </is>
      </c>
      <c r="B89" t="inlineStr">
        <is>
          <t>Tanna</t>
        </is>
      </c>
      <c r="C89" t="inlineStr">
        <is>
          <t>Founder CEO</t>
        </is>
      </c>
      <c r="D89" t="inlineStr">
        <is>
          <t>Ghost Kitchens India</t>
        </is>
      </c>
      <c r="E89" t="inlineStr">
        <is>
          <t>kt@ghostkitchensindia.com</t>
        </is>
      </c>
      <c r="F89" t="n">
        <v>98</v>
      </c>
      <c r="G89" t="inlineStr">
        <is>
          <t>restaurants</t>
        </is>
      </c>
      <c r="H89" t="inlineStr">
        <is>
          <t>http://www.linkedin.com/in/karan-tanna-ghost-kitchens-india</t>
        </is>
      </c>
      <c r="I89" t="inlineStr">
        <is>
          <t>https://ghostkitchensindia.com</t>
        </is>
      </c>
      <c r="J89" t="inlineStr">
        <is>
          <t>Mumbai</t>
        </is>
      </c>
      <c r="K89" t="inlineStr">
        <is>
          <t>Maharashtra</t>
        </is>
      </c>
      <c r="L89" t="inlineStr">
        <is>
          <t>India</t>
        </is>
      </c>
      <c r="M89" t="n">
        <v>48000000</v>
      </c>
      <c r="N89" s="4" t="n">
        <v>89</v>
      </c>
      <c r="O89" s="4" t="inlineStr">
        <is>
          <t>B - Warm</t>
        </is>
      </c>
      <c r="P89" t="inlineStr">
        <is>
          <t>Tier 1 - C-Suite/Founder</t>
        </is>
      </c>
      <c r="Q89" t="inlineStr">
        <is>
          <t>C-Suite/Founder / General management</t>
        </is>
      </c>
      <c r="R89" t="inlineStr"/>
      <c r="S89" s="3" t="inlineStr">
        <is>
          <t>Hi Karan, your work as Founder CEO at Ghost Kitchens India caught my eye. We build small AI use cases that sit on top of existing ERPs — think measurable margin and working-capital gains within a quarter. Would be glad to connect.</t>
        </is>
      </c>
      <c r="T89" s="3" t="inlineStr">
        <is>
          <t>Appreciate the connect, Karan. One idea for Ghost Kitchens India: AI add-ons for your ERP — invoice matching, PO automation, demand forecasting. It runs alongside your current ERP, so there's no migration risk — just one contained pilot. Happy to share how similar teams structure it.</t>
        </is>
      </c>
      <c r="U89" s="3" t="inlineStr">
        <is>
          <t>Last note from me, Karan — timing is everything with these projects. If an AI-on-ERP pilot becomes relevant at Ghost Kitchens India later, my line's open. Wishing you a strong quarter.</t>
        </is>
      </c>
      <c r="V89" t="inlineStr">
        <is>
          <t>AI on top of Ghost Kitchens India's ERP — one small use case</t>
        </is>
      </c>
      <c r="W89" s="3" t="inlineStr">
        <is>
          <t>Hi Karan,
As Founder CEO at Ghost Kitchens India, you likely see manual reconciliation work your ERP wasn't built to remove more closely than anyone.
We build AI solutions that plug into your existing ERP for small, high-impact use cases across retail ecosystems — starting with AI add-ons for your ERP — invoice matching, PO automation, demand forecasting. No rip-and-replace: it reads
from and writes back to the ERP you already run, and one contained use case is
usually live in weeks.
For someone in your seat, the payoff is measurable margin and working-capital gains within a quarter.
Open to a 15-minute call to see if there's a fit for Ghost Kitchens India?
Best,
{{SENDER_NAME}}
{{SENDER_EMAIL}} | Book directly: {{CALENDLY_URL}}
P.S. If this isn't relevant, reply "no thanks" and I won't follow up again.</t>
        </is>
      </c>
      <c r="X89" t="inlineStr">
        <is>
          <t>Re: one small AI use case for Ghost Kitchens India</t>
        </is>
      </c>
      <c r="Y89" s="3" t="inlineStr">
        <is>
          <t>Hi Karan,
Following up on my last note. The pattern that works in restaurants:
pick one painful, well-bounded problem — for most teams that's manual reconciliation work your ERP wasn't built to remove — and put a
narrow AI layer on the ERP data you already have.
What that looks like in practice:
- Week 1: connect read-only to the ERP, baseline the problem with your data
- Week 2-3: pilot AI add-ons for your ERP — invoice matching, PO automation, demand forecasting
- Then: keep it only if the numbers justify it
No new platform, no long IT project. Would a 15-minute walkthrough this week or
next work? {{CALENDLY_URL}}
Best,
{{SENDER_NAME}}</t>
        </is>
      </c>
      <c r="Z89" t="inlineStr">
        <is>
          <t>Last note — AI on ERP at Ghost Kitchens India</t>
        </is>
      </c>
      <c r="AA89" s="3" t="inlineStr">
        <is>
          <t>Hi Karan,
I'll close the loop here — inbox zero is sacred.
If manual reconciliation work your ERP wasn't built to remove becomes a priority at Ghost Kitchens India this year, we're a 15-minute
conversation away: {{CALENDLY_URL}}. If it's easier, I can also send a
one-page overview of AI add-ons for your ERP — invoice matching, PO automation, demand forecasting that you can forward internally — just reply
"send it".
Either way, thanks for reading, and good luck this quarter.
Best,
{{SENDER_NAME}}
(Reply "unsubscribe" and you won't hear from me again.)</t>
        </is>
      </c>
      <c r="AB89" t="inlineStr">
        <is>
          <t>Draft</t>
        </is>
      </c>
      <c r="AC89" t="n">
        <v>0</v>
      </c>
      <c r="AD89" t="inlineStr"/>
      <c r="AE89" t="inlineStr"/>
      <c r="AF89" t="inlineStr"/>
    </row>
    <row r="90">
      <c r="A90" t="inlineStr">
        <is>
          <t>Atul</t>
        </is>
      </c>
      <c r="B90" t="inlineStr">
        <is>
          <t>Krotra</t>
        </is>
      </c>
      <c r="C90" t="inlineStr">
        <is>
          <t>Asst Vice President (Maintenance)</t>
        </is>
      </c>
      <c r="D90" t="inlineStr">
        <is>
          <t>Sutlej Textiles and Industries Ltd.</t>
        </is>
      </c>
      <c r="E90" t="inlineStr">
        <is>
          <t>atulkrotra@sutlejtextiles.com</t>
        </is>
      </c>
      <c r="F90" t="n">
        <v>13000</v>
      </c>
      <c r="G90" t="inlineStr">
        <is>
          <t>textiles</t>
        </is>
      </c>
      <c r="H90" t="inlineStr">
        <is>
          <t>http://www.linkedin.com/in/atul-krotra-5450ab8b</t>
        </is>
      </c>
      <c r="I90" t="inlineStr">
        <is>
          <t>https://sutlejtextiles.com</t>
        </is>
      </c>
      <c r="J90" t="inlineStr">
        <is>
          <t>Gurdaspur</t>
        </is>
      </c>
      <c r="K90" t="inlineStr">
        <is>
          <t>Punjab</t>
        </is>
      </c>
      <c r="L90" t="inlineStr">
        <is>
          <t>India</t>
        </is>
      </c>
      <c r="M90" t="n">
        <v>317545000</v>
      </c>
      <c r="N90" s="4" t="n">
        <v>89</v>
      </c>
      <c r="O90" s="4" t="inlineStr">
        <is>
          <t>B - Warm</t>
        </is>
      </c>
      <c r="P90" t="inlineStr">
        <is>
          <t>Tier 1 - C-Suite/Founder</t>
        </is>
      </c>
      <c r="Q90" t="inlineStr">
        <is>
          <t>C-Suite/Founder / General management</t>
        </is>
      </c>
      <c r="R90" t="inlineStr"/>
      <c r="S90" s="3" t="inlineStr">
        <is>
          <t>Hi Atul, your work as Asst Vice President (Maintenance) at Sutlej Textiles and Industries Ltd. caught my eye. We build small AI use cases that sit on top of existing ERPs — think measurable margin and working-capital gains within a quarter. Would be glad to connect.</t>
        </is>
      </c>
      <c r="T90" s="3" t="inlineStr">
        <is>
          <t>Glad to be connected, Atul. Most textiles teams we meet struggle with delivery-date slippage and yarn/greige inventory pile-ups. We fix exactly that with production scheduling and order-to-dispatch tracking layered on your ERP. Open to a 15-minute walkthrough?</t>
        </is>
      </c>
      <c r="U90" s="3" t="inlineStr">
        <is>
          <t>Last note from me, Atul — timing is everything with these projects. If an AI-on-ERP pilot becomes relevant at Sutlej Textiles and Industries Ltd. later, my line's open. Wishing you a strong quarter.</t>
        </is>
      </c>
      <c r="V90" t="inlineStr">
        <is>
          <t>Atul, a faster fix for delivery-date slippage</t>
        </is>
      </c>
      <c r="W90" s="3" t="inlineStr">
        <is>
          <t>Hi Atul,
As Asst Vice President (Maintenance) at Sutlej Textiles and Industries Ltd.,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Sutlej Textiles and Industries Ltd.?
Best,
{{SENDER_NAME}}
{{SENDER_EMAIL}} | Book directly: {{CALENDLY_URL}}
P.S. If this isn't relevant, reply "no thanks" and I won't follow up again.</t>
        </is>
      </c>
      <c r="X90" t="inlineStr">
        <is>
          <t>Re: one small AI use case for Sutlej Textiles and Industries Ltd.</t>
        </is>
      </c>
      <c r="Y90" s="3" t="inlineStr">
        <is>
          <t>Hi Atul,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90" t="inlineStr">
        <is>
          <t>Should I stay or should I go, Atul?</t>
        </is>
      </c>
      <c r="AA90" s="3" t="inlineStr">
        <is>
          <t>Hi Atul,
I'll close the loop here — inbox zero is sacred.
If delivery-date slippage and yarn/greige inventory pile-ups becomes a priority at Sutlej Textiles and Industries Ltd.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90" t="inlineStr">
        <is>
          <t>Draft</t>
        </is>
      </c>
      <c r="AC90" t="n">
        <v>0</v>
      </c>
      <c r="AD90" t="inlineStr"/>
      <c r="AE90" t="inlineStr"/>
      <c r="AF90" t="inlineStr"/>
    </row>
    <row r="91">
      <c r="A91" t="inlineStr">
        <is>
          <t>Ajinkya</t>
        </is>
      </c>
      <c r="B91" t="inlineStr">
        <is>
          <t>Hange</t>
        </is>
      </c>
      <c r="C91" t="inlineStr">
        <is>
          <t>Farmer &amp; Co Founder</t>
        </is>
      </c>
      <c r="D91" t="inlineStr">
        <is>
          <t>Two Brothers Organic Farms®</t>
        </is>
      </c>
      <c r="E91" t="inlineStr">
        <is>
          <t>ajinkya@twobrothersindia.com</t>
        </is>
      </c>
      <c r="F91" t="n">
        <v>180</v>
      </c>
      <c r="G91" t="inlineStr">
        <is>
          <t>food &amp; beverages</t>
        </is>
      </c>
      <c r="H91" t="inlineStr">
        <is>
          <t>http://www.linkedin.com/in/ajinkyahange</t>
        </is>
      </c>
      <c r="I91" t="inlineStr">
        <is>
          <t>https://twobrothersindiashop.com</t>
        </is>
      </c>
      <c r="J91" t="inlineStr">
        <is>
          <t>Pune</t>
        </is>
      </c>
      <c r="K91" t="inlineStr">
        <is>
          <t>Maharashtra</t>
        </is>
      </c>
      <c r="L91" t="inlineStr">
        <is>
          <t>India</t>
        </is>
      </c>
      <c r="M91" t="n">
        <v>60000000</v>
      </c>
      <c r="N91" s="4" t="n">
        <v>89</v>
      </c>
      <c r="O91" s="4" t="inlineStr">
        <is>
          <t>B - Warm</t>
        </is>
      </c>
      <c r="P91" t="inlineStr">
        <is>
          <t>Tier 1 - C-Suite/Founder</t>
        </is>
      </c>
      <c r="Q91" t="inlineStr">
        <is>
          <t>C-Suite/Founder / General management</t>
        </is>
      </c>
      <c r="R91" t="inlineStr"/>
      <c r="S91" s="3" t="inlineStr">
        <is>
          <t>Hi Ajinkya, I work with food &amp; beverages leaders on measurable margin and working-capital gains within a quarter — lightweight AI that plugs into the ERP you already run. Given your seat at Two Brothers Organic Farms®, thought it was worth connecting.</t>
        </is>
      </c>
      <c r="T91" s="3" t="inlineStr">
        <is>
          <t>Thanks for connecting, Ajinkya. Quick context: we ship expiry-aware replenishment and wastage prediction wired into your ERP. Teams typically start with one narrow use case and see results in weeks, not an ERP-project timeline. Worth a short look for Two Brothers Organic Farms®?</t>
        </is>
      </c>
      <c r="U91" s="3" t="inlineStr">
        <is>
          <t>Ajinkya, closing the loop so I'm not another unread ping. If it's useful, I can send a one-pager on expiry-aware replenishment and wastage prediction wired into your ERP for Two Brothers Organic Farms® — zero meetings needed. Just say the word.</t>
        </is>
      </c>
      <c r="V91" t="inlineStr">
        <is>
          <t>AI on top of Two Brothers Organic Farms®'s ERP — one small use case</t>
        </is>
      </c>
      <c r="W91" s="3" t="inlineStr">
        <is>
          <t>Hi Ajinkya,
As Farmer &amp; Co Founder at Two Brothers Organic Farms®,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Two Brothers Organic Farms®?
Best,
{{SENDER_NAME}}
{{SENDER_EMAIL}} | Book directly: {{CALENDLY_URL}}
P.S. If this isn't relevant, reply "no thanks" and I won't follow up again.</t>
        </is>
      </c>
      <c r="X91" t="inlineStr">
        <is>
          <t>How teams like Two Brothers Organic Farms® start with AI on ERP</t>
        </is>
      </c>
      <c r="Y91" s="3" t="inlineStr">
        <is>
          <t>Hi Ajinkya,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91" t="inlineStr">
        <is>
          <t>Last note — AI on ERP at Two Brothers Organic Farms®</t>
        </is>
      </c>
      <c r="AA91" s="3" t="inlineStr">
        <is>
          <t>Hi Ajinkya,
I'll close the loop here — inbox zero is sacred.
If near-expiry write-offs and distributor claim reconciliation becomes a priority at Two Brothers Organic Farms®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91" t="inlineStr">
        <is>
          <t>Draft</t>
        </is>
      </c>
      <c r="AC91" t="n">
        <v>0</v>
      </c>
      <c r="AD91" t="inlineStr"/>
      <c r="AE91" t="inlineStr"/>
      <c r="AF91" t="inlineStr"/>
    </row>
    <row r="92">
      <c r="A92" t="inlineStr">
        <is>
          <t>Nayan</t>
        </is>
      </c>
      <c r="B92" t="inlineStr">
        <is>
          <t>Shah</t>
        </is>
      </c>
      <c r="C92" t="inlineStr">
        <is>
          <t>Founder and CEO</t>
        </is>
      </c>
      <c r="D92" t="inlineStr">
        <is>
          <t>Clear Premium Water</t>
        </is>
      </c>
      <c r="E92" t="inlineStr">
        <is>
          <t>nayan@clearpani.com</t>
        </is>
      </c>
      <c r="F92" t="n">
        <v>170</v>
      </c>
      <c r="G92" t="inlineStr">
        <is>
          <t>food &amp; beverages</t>
        </is>
      </c>
      <c r="H92" t="inlineStr">
        <is>
          <t>http://www.linkedin.com/in/nayan-shah-768aaa17</t>
        </is>
      </c>
      <c r="I92" t="inlineStr">
        <is>
          <t>https://clearpani.com</t>
        </is>
      </c>
      <c r="J92" t="inlineStr">
        <is>
          <t>Ahmedabad</t>
        </is>
      </c>
      <c r="K92" t="inlineStr">
        <is>
          <t>Gujarat</t>
        </is>
      </c>
      <c r="L92" t="inlineStr">
        <is>
          <t>India</t>
        </is>
      </c>
      <c r="M92" t="n">
        <v>30000000</v>
      </c>
      <c r="N92" s="4" t="n">
        <v>89</v>
      </c>
      <c r="O92" s="4" t="inlineStr">
        <is>
          <t>B - Warm</t>
        </is>
      </c>
      <c r="P92" t="inlineStr">
        <is>
          <t>Tier 1 - C-Suite/Founder</t>
        </is>
      </c>
      <c r="Q92" t="inlineStr">
        <is>
          <t>C-Suite/Founder / General management</t>
        </is>
      </c>
      <c r="R92" t="inlineStr"/>
      <c r="S92" s="3" t="inlineStr">
        <is>
          <t>Hi Nayan, I work with food &amp; beverages leaders on measurable margin and working-capital gains within a quarter — lightweight AI that plugs into the ERP you already run. Given your seat at Clear Premium Water, thought it was worth connecting.</t>
        </is>
      </c>
      <c r="T92" s="3" t="inlineStr">
        <is>
          <t>Thanks for connecting, Nayan. Quick context: we ship expiry-aware replenishment and wastage prediction wired into your ERP. Teams typically start with one narrow use case and see results in weeks, not an ERP-project timeline. Worth a short look for Clear Premium Water?</t>
        </is>
      </c>
      <c r="U92" s="3" t="inlineStr">
        <is>
          <t>Nayan, closing the loop so I'm not another unread ping. If it's useful, I can send a one-pager on expiry-aware replenishment and wastage prediction wired into your ERP for Clear Premium Water — zero meetings needed. Just say the word.</t>
        </is>
      </c>
      <c r="V92" t="inlineStr">
        <is>
          <t>Near-expiry write-offs at Clear Premium Water?</t>
        </is>
      </c>
      <c r="W92" s="3" t="inlineStr">
        <is>
          <t>Hi Nayan,
As Founder and CEO at Clear Premium Water,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Clear Premium Water?
Best,
{{SENDER_NAME}}
{{SENDER_EMAIL}} | Book directly: {{CALENDLY_URL}}
P.S. If this isn't relevant, reply "no thanks" and I won't follow up again.</t>
        </is>
      </c>
      <c r="X92" t="inlineStr">
        <is>
          <t>Nayan — the 3-week pilot version</t>
        </is>
      </c>
      <c r="Y92" s="3" t="inlineStr">
        <is>
          <t>Hi Nayan,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92" t="inlineStr">
        <is>
          <t>Should I stay or should I go, Nayan?</t>
        </is>
      </c>
      <c r="AA92" s="3" t="inlineStr">
        <is>
          <t>Hi Nayan,
I'll close the loop here — inbox zero is sacred.
If near-expiry write-offs and distributor claim reconciliation becomes a priority at Clear Premium Water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92" t="inlineStr">
        <is>
          <t>Draft</t>
        </is>
      </c>
      <c r="AC92" t="n">
        <v>0</v>
      </c>
      <c r="AD92" t="inlineStr"/>
      <c r="AE92" t="inlineStr"/>
      <c r="AF92" t="inlineStr"/>
    </row>
    <row r="93">
      <c r="A93" t="inlineStr">
        <is>
          <t>Abhinav</t>
        </is>
      </c>
      <c r="B93" t="inlineStr">
        <is>
          <t>Gupta</t>
        </is>
      </c>
      <c r="C93" t="inlineStr">
        <is>
          <t>Chief Financial Officer</t>
        </is>
      </c>
      <c r="D93" t="inlineStr">
        <is>
          <t>Tilaknagar Industries Ltd.</t>
        </is>
      </c>
      <c r="E93" t="inlineStr">
        <is>
          <t>agupta@tilind.com</t>
        </is>
      </c>
      <c r="F93" t="n">
        <v>330</v>
      </c>
      <c r="G93" t="inlineStr">
        <is>
          <t>food production</t>
        </is>
      </c>
      <c r="H93" t="inlineStr">
        <is>
          <t>http://www.linkedin.com/in/abhinav-gupta-5940791</t>
        </is>
      </c>
      <c r="I93" t="inlineStr">
        <is>
          <t>https://tilind.com</t>
        </is>
      </c>
      <c r="J93" t="inlineStr">
        <is>
          <t>New Delhi</t>
        </is>
      </c>
      <c r="K93" t="inlineStr">
        <is>
          <t>Delhi</t>
        </is>
      </c>
      <c r="L93" t="inlineStr">
        <is>
          <t>India</t>
        </is>
      </c>
      <c r="M93" t="n">
        <v>168345000</v>
      </c>
      <c r="N93" s="4" t="n">
        <v>88</v>
      </c>
      <c r="O93" s="4" t="inlineStr">
        <is>
          <t>B - Warm</t>
        </is>
      </c>
      <c r="P93" t="inlineStr">
        <is>
          <t>Tier 1 - C-Suite/Founder</t>
        </is>
      </c>
      <c r="Q93" t="inlineStr">
        <is>
          <t>C-Suite/Founder / Ops/Tech/Finance/Commercial</t>
        </is>
      </c>
      <c r="R93" t="inlineStr"/>
      <c r="S93" s="3" t="inlineStr">
        <is>
          <t>Hi Abhinav, I work with food production leaders on recovering margin leakage and freeing working capital trapped in inventory — lightweight AI that plugs into the ERP you already run. Given your seat at Tilaknagar Industries Ltd., thought it was worth connecting.</t>
        </is>
      </c>
      <c r="T93" s="3" t="inlineStr">
        <is>
          <t>Thanks for connecting, Abhinav. Quick context: we ship yield prediction and QC anomaly detection fed by your ERP batch data. Teams typically start with one narrow use case and see results in weeks, not an ERP-project timeline. Worth a short look for Tilaknagar Industries Ltd.?</t>
        </is>
      </c>
      <c r="U93" s="3" t="inlineStr">
        <is>
          <t>Abhinav, I'll leave this here rather than keep nudging — if batch-to-batch yield swings and manual quality paperwork ever climbs the priority list at Tilaknagar Industries Ltd., a 15-minute call is all it takes to see if there's a fit. Either way, good luck this quarter.</t>
        </is>
      </c>
      <c r="V93" t="inlineStr">
        <is>
          <t>Abhinav, a faster fix for batch-to-batch yield swings</t>
        </is>
      </c>
      <c r="W93" s="3" t="inlineStr">
        <is>
          <t>Hi Abhinav,
As Chief Financial Officer at Tilaknagar Industries Ltd.,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Tilaknagar Industries Ltd.?
Best,
{{SENDER_NAME}}
{{SENDER_EMAIL}} | Book directly: {{CALENDLY_URL}}
P.S. If this isn't relevant, reply "no thanks" and I won't follow up again.</t>
        </is>
      </c>
      <c r="X93" t="inlineStr">
        <is>
          <t>How teams like Tilaknagar Industries Ltd. start with AI on ERP</t>
        </is>
      </c>
      <c r="Y93" s="3" t="inlineStr">
        <is>
          <t>Hi Abhinav,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93" t="inlineStr">
        <is>
          <t>Closing the loop, Abhinav</t>
        </is>
      </c>
      <c r="AA93" s="3" t="inlineStr">
        <is>
          <t>Hi Abhinav,
I'll close the loop here — inbox zero is sacred.
If batch-to-batch yield swings and manual quality paperwork becomes a priority at Tilaknagar Industries Ltd.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93" t="inlineStr">
        <is>
          <t>Draft</t>
        </is>
      </c>
      <c r="AC93" t="n">
        <v>0</v>
      </c>
      <c r="AD93" t="inlineStr"/>
      <c r="AE93" t="inlineStr"/>
      <c r="AF93" t="inlineStr"/>
    </row>
    <row r="94">
      <c r="A94" t="inlineStr">
        <is>
          <t>Sankalp</t>
        </is>
      </c>
      <c r="B94" t="inlineStr">
        <is>
          <t>Khare</t>
        </is>
      </c>
      <c r="C94" t="inlineStr">
        <is>
          <t>VP Sourcing</t>
        </is>
      </c>
      <c r="D94" t="inlineStr">
        <is>
          <t>The Souled Store</t>
        </is>
      </c>
      <c r="E94" t="inlineStr">
        <is>
          <t>sankalp.khare@thesouledstore.com</t>
        </is>
      </c>
      <c r="F94" t="n">
        <v>740</v>
      </c>
      <c r="G94" t="inlineStr">
        <is>
          <t>apparel &amp; fashion</t>
        </is>
      </c>
      <c r="H94" t="inlineStr">
        <is>
          <t>http://www.linkedin.com/in/sankalp-khare-960b1019</t>
        </is>
      </c>
      <c r="I94" t="inlineStr">
        <is>
          <t>https://thesouledstore.com</t>
        </is>
      </c>
      <c r="J94" t="inlineStr">
        <is>
          <t>Mumbai</t>
        </is>
      </c>
      <c r="K94" t="inlineStr">
        <is>
          <t>Maharashtra</t>
        </is>
      </c>
      <c r="L94" t="inlineStr">
        <is>
          <t>India</t>
        </is>
      </c>
      <c r="M94" t="n">
        <v>42000000</v>
      </c>
      <c r="N94" s="4" t="n">
        <v>88</v>
      </c>
      <c r="O94" s="4" t="inlineStr">
        <is>
          <t>B - Warm</t>
        </is>
      </c>
      <c r="P94" t="inlineStr">
        <is>
          <t>Tier 2 - VP</t>
        </is>
      </c>
      <c r="Q94" t="inlineStr">
        <is>
          <t>VP / Ops/Tech/Finance/Commercial</t>
        </is>
      </c>
      <c r="R94" t="inlineStr"/>
      <c r="S94" s="3" t="inlineStr">
        <is>
          <t>Hi Sankalp, I work with apparel &amp; fashion leaders on getting the repetitive ERP grunt work off your team's plate — lightweight AI that plugs into the ERP you already run. Given your seat at The Souled Store, thought it was worth connecting.</t>
        </is>
      </c>
      <c r="T94" s="3" t="inlineStr">
        <is>
          <t>Thanks for connecting, Sankalp. Quick context: we ship size-curve planning and season-buy optimization that reads straight from your ERP. Teams typically start with one narrow use case and see results in weeks, not an ERP-project timeline. Worth a short look for The Souled Store?</t>
        </is>
      </c>
      <c r="U94" s="3" t="inlineStr">
        <is>
          <t>Sankalp, I'll leave this here rather than keep nudging — if broken size sets and end-of-season markdowns ever climbs the priority list at The Souled Store, a 15-minute call is all it takes to see if there's a fit. Either way, good luck this quarter.</t>
        </is>
      </c>
      <c r="V94" t="inlineStr">
        <is>
          <t>AI on top of The Souled Store's ERP — one small use case</t>
        </is>
      </c>
      <c r="W94" s="3" t="inlineStr">
        <is>
          <t>Hi Sankalp,
As VP Sourcing at The Souled Store,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getting the repetitive ERP grunt work off your team's plate.
Open to a 15-minute call to see if there's a fit for The Souled Store?
Best,
{{SENDER_NAME}}
{{SENDER_EMAIL}} | Book directly: {{CALENDLY_URL}}
P.S. If this isn't relevant, reply "no thanks" and I won't follow up again.</t>
        </is>
      </c>
      <c r="X94" t="inlineStr">
        <is>
          <t>Sankalp — the 3-week pilot version</t>
        </is>
      </c>
      <c r="Y94" s="3" t="inlineStr">
        <is>
          <t>Hi Sankalp,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94" t="inlineStr">
        <is>
          <t>Closing the loop, Sankalp</t>
        </is>
      </c>
      <c r="AA94" s="3" t="inlineStr">
        <is>
          <t>Hi Sankalp,
I'll close the loop here — inbox zero is sacred.
If broken size sets and end-of-season markdowns becomes a priority at The Souled Store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94" t="inlineStr">
        <is>
          <t>Draft</t>
        </is>
      </c>
      <c r="AC94" t="n">
        <v>0</v>
      </c>
      <c r="AD94" t="inlineStr"/>
      <c r="AE94" t="inlineStr"/>
      <c r="AF94" t="inlineStr"/>
    </row>
    <row r="95">
      <c r="A95" t="inlineStr">
        <is>
          <t>Lorna</t>
        </is>
      </c>
      <c r="B95" t="inlineStr">
        <is>
          <t>Rodrigues</t>
        </is>
      </c>
      <c r="C95" t="inlineStr">
        <is>
          <t>ASST to The CEO</t>
        </is>
      </c>
      <c r="D95" t="inlineStr">
        <is>
          <t>UPL</t>
        </is>
      </c>
      <c r="E95" t="inlineStr">
        <is>
          <t>rodriguesl@upl-ltd.com</t>
        </is>
      </c>
      <c r="F95" t="n">
        <v>12000</v>
      </c>
      <c r="G95" t="inlineStr">
        <is>
          <t>farming</t>
        </is>
      </c>
      <c r="H95" t="inlineStr">
        <is>
          <t>http://www.linkedin.com/in/lorna-rodrigues-50250b51</t>
        </is>
      </c>
      <c r="I95" t="inlineStr">
        <is>
          <t>https://upl-ltd.com</t>
        </is>
      </c>
      <c r="J95" t="inlineStr">
        <is>
          <t>Mumbai</t>
        </is>
      </c>
      <c r="K95" t="inlineStr">
        <is>
          <t>Maharashtra</t>
        </is>
      </c>
      <c r="L95" t="inlineStr">
        <is>
          <t>India</t>
        </is>
      </c>
      <c r="M95" t="n">
        <v>5508517000</v>
      </c>
      <c r="N95" s="4" t="n">
        <v>88</v>
      </c>
      <c r="O95" s="4" t="inlineStr">
        <is>
          <t>B - Warm</t>
        </is>
      </c>
      <c r="P95" t="inlineStr">
        <is>
          <t>Tier 1 - C-Suite/Founder</t>
        </is>
      </c>
      <c r="Q95" t="inlineStr">
        <is>
          <t>C-Suite/Founder / General management</t>
        </is>
      </c>
      <c r="R95" t="inlineStr"/>
      <c r="S95" s="3" t="inlineStr">
        <is>
          <t>Hi Lorna, I work with farming leaders on measurable margin and working-capital gains within a quarter — lightweight AI that plugs into the ERP you already run. Given your seat at UPL, thought it was worth connecting.</t>
        </is>
      </c>
      <c r="T95" s="3" t="inlineStr">
        <is>
          <t>Appreciate the connect, Lorna. One idea for UPL: procurement price forecasting and supply planning connected to your ERP. It runs alongside your current ERP, so there's no migration risk — just one contained pilot. Happy to share how similar teams structure it.</t>
        </is>
      </c>
      <c r="U95" s="3" t="inlineStr">
        <is>
          <t>Lorna, closing the loop so I'm not another unread ping. If it's useful, I can send a one-pager on procurement price forecasting and supply planning connected to your ERP for UPL — zero meetings needed. Just say the word.</t>
        </is>
      </c>
      <c r="V95" t="inlineStr">
        <is>
          <t>Lorna, a faster fix for volatile procurement prices</t>
        </is>
      </c>
      <c r="W95" s="3" t="inlineStr">
        <is>
          <t>Hi Lorna,
As ASST to The CEO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UPL?
Best,
{{SENDER_NAME}}
{{SENDER_EMAIL}} | Book directly: {{CALENDLY_URL}}
P.S. If this isn't relevant, reply "no thanks" and I won't follow up again.</t>
        </is>
      </c>
      <c r="X95" t="inlineStr">
        <is>
          <t>Re: one small AI use case for UPL</t>
        </is>
      </c>
      <c r="Y95" s="3" t="inlineStr">
        <is>
          <t>Hi Lorna,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95" t="inlineStr">
        <is>
          <t>Closing the loop, Lorna</t>
        </is>
      </c>
      <c r="AA95" s="3" t="inlineStr">
        <is>
          <t>Hi Lorna,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95" t="inlineStr">
        <is>
          <t>Draft</t>
        </is>
      </c>
      <c r="AC95" t="n">
        <v>0</v>
      </c>
      <c r="AD95" t="inlineStr"/>
      <c r="AE95" t="inlineStr"/>
      <c r="AF95" t="inlineStr"/>
    </row>
    <row r="96">
      <c r="A96" t="inlineStr">
        <is>
          <t>Suyash</t>
        </is>
      </c>
      <c r="B96" t="inlineStr">
        <is>
          <t>Sharma</t>
        </is>
      </c>
      <c r="C96" t="inlineStr">
        <is>
          <t>Deputy CEO</t>
        </is>
      </c>
      <c r="D96" t="inlineStr">
        <is>
          <t>UPL</t>
        </is>
      </c>
      <c r="E96" t="inlineStr">
        <is>
          <t>suyash.sharma@upl-ltd.com</t>
        </is>
      </c>
      <c r="F96" t="n">
        <v>12000</v>
      </c>
      <c r="G96" t="inlineStr">
        <is>
          <t>farming</t>
        </is>
      </c>
      <c r="H96" t="inlineStr">
        <is>
          <t>http://www.linkedin.com/in/suyash-sharma-705352179</t>
        </is>
      </c>
      <c r="I96" t="inlineStr">
        <is>
          <t>https://upl-ltd.com</t>
        </is>
      </c>
      <c r="J96" t="inlineStr">
        <is>
          <t>Meerut</t>
        </is>
      </c>
      <c r="K96" t="inlineStr">
        <is>
          <t>Uttar Pradesh</t>
        </is>
      </c>
      <c r="L96" t="inlineStr">
        <is>
          <t>India</t>
        </is>
      </c>
      <c r="M96" t="n">
        <v>5508517000</v>
      </c>
      <c r="N96" s="4" t="n">
        <v>88</v>
      </c>
      <c r="O96" s="4" t="inlineStr">
        <is>
          <t>B - Warm</t>
        </is>
      </c>
      <c r="P96" t="inlineStr">
        <is>
          <t>Tier 1 - C-Suite/Founder</t>
        </is>
      </c>
      <c r="Q96" t="inlineStr">
        <is>
          <t>C-Suite/Founder / General management</t>
        </is>
      </c>
      <c r="R96" t="inlineStr"/>
      <c r="S96" s="3" t="inlineStr">
        <is>
          <t>Hi Suyash, we help teams like UPL's tackle volatile procurement prices and manual arrival planning with AI add-ons to their existing ERP — no replatforming. Keen to connect and swap notes.</t>
        </is>
      </c>
      <c r="T96" s="3" t="inlineStr">
        <is>
          <t>Appreciate the connect, Suyash. One idea for UPL: procurement price forecasting and supply planning connected to your ERP. It runs alongside your current ERP, so there's no migration risk — just one contained pilot. Happy to share how similar teams structure it.</t>
        </is>
      </c>
      <c r="U96" s="3" t="inlineStr">
        <is>
          <t>Suyash, I'll leave this here rather than keep nudging — if volatile procurement prices and manual arrival planning ever climbs the priority list at UPL, a 15-minute call is all it takes to see if there's a fit. Either way, good luck this quarter.</t>
        </is>
      </c>
      <c r="V96" t="inlineStr">
        <is>
          <t>Volatile procurement prices at UPL?</t>
        </is>
      </c>
      <c r="W96" s="3" t="inlineStr">
        <is>
          <t>Hi Suyash,
As Deputy CEO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UPL?
Best,
{{SENDER_NAME}}
{{SENDER_EMAIL}} | Book directly: {{CALENDLY_URL}}
P.S. If this isn't relevant, reply "no thanks" and I won't follow up again.</t>
        </is>
      </c>
      <c r="X96" t="inlineStr">
        <is>
          <t>Re: one small AI use case for UPL</t>
        </is>
      </c>
      <c r="Y96" s="3" t="inlineStr">
        <is>
          <t>Hi Suyash,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96" t="inlineStr">
        <is>
          <t>Should I stay or should I go, Suyash?</t>
        </is>
      </c>
      <c r="AA96" s="3" t="inlineStr">
        <is>
          <t>Hi Suyash,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96" t="inlineStr">
        <is>
          <t>Draft</t>
        </is>
      </c>
      <c r="AC96" t="n">
        <v>0</v>
      </c>
      <c r="AD96" t="inlineStr"/>
      <c r="AE96" t="inlineStr"/>
      <c r="AF96" t="inlineStr"/>
    </row>
    <row r="97">
      <c r="A97" t="inlineStr">
        <is>
          <t>Ramanan</t>
        </is>
      </c>
      <c r="B97" t="inlineStr">
        <is>
          <t>Swaminathan</t>
        </is>
      </c>
      <c r="C97" t="inlineStr">
        <is>
          <t>CFO</t>
        </is>
      </c>
      <c r="D97" t="inlineStr">
        <is>
          <t>UPL</t>
        </is>
      </c>
      <c r="E97" t="inlineStr">
        <is>
          <t>ramanan.swaminathan@upl-ltd.com</t>
        </is>
      </c>
      <c r="F97" t="n">
        <v>12000</v>
      </c>
      <c r="G97" t="inlineStr">
        <is>
          <t>farming</t>
        </is>
      </c>
      <c r="H97" t="inlineStr">
        <is>
          <t>http://www.linkedin.com/in/ramanan-swaminathan-b40b542a</t>
        </is>
      </c>
      <c r="I97" t="inlineStr">
        <is>
          <t>https://upl-ltd.com</t>
        </is>
      </c>
      <c r="J97" t="inlineStr">
        <is>
          <t>Chennai</t>
        </is>
      </c>
      <c r="K97" t="inlineStr">
        <is>
          <t>Tamil Nadu</t>
        </is>
      </c>
      <c r="L97" t="inlineStr">
        <is>
          <t>India</t>
        </is>
      </c>
      <c r="M97" t="n">
        <v>5508517000</v>
      </c>
      <c r="N97" s="4" t="n">
        <v>88</v>
      </c>
      <c r="O97" s="4" t="inlineStr">
        <is>
          <t>B - Warm</t>
        </is>
      </c>
      <c r="P97" t="inlineStr">
        <is>
          <t>Tier 1 - C-Suite/Founder</t>
        </is>
      </c>
      <c r="Q97" t="inlineStr">
        <is>
          <t>C-Suite/Founder / General management</t>
        </is>
      </c>
      <c r="R97" t="inlineStr"/>
      <c r="S97" s="3" t="inlineStr">
        <is>
          <t>Hi Ramanan, your work as CFO at UPL caught my eye. We build small AI use cases that sit on top of existing ERPs — think recovering margin leakage and freeing working capital trapped in inventory. Would be glad to connect.</t>
        </is>
      </c>
      <c r="T97" s="3" t="inlineStr">
        <is>
          <t>Thanks for connecting, Ramanan. Quick context: we ship procurement price forecasting and supply planning connected to your ERP. Teams typically start with one narrow use case and see results in weeks, not an ERP-project timeline. Worth a short look for UPL?</t>
        </is>
      </c>
      <c r="U97" s="3" t="inlineStr">
        <is>
          <t>Ramanan, closing the loop so I'm not another unread ping. If it's useful, I can send a one-pager on procurement price forecasting and supply planning connected to your ERP for UPL — zero meetings needed. Just say the word.</t>
        </is>
      </c>
      <c r="V97" t="inlineStr">
        <is>
          <t>AI on top of UPL's ERP — one small use case</t>
        </is>
      </c>
      <c r="W97" s="3" t="inlineStr">
        <is>
          <t>Hi Ramanan,
As CFO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UPL?
Best,
{{SENDER_NAME}}
{{SENDER_EMAIL}} | Book directly: {{CALENDLY_URL}}
P.S. If this isn't relevant, reply "no thanks" and I won't follow up again.</t>
        </is>
      </c>
      <c r="X97" t="inlineStr">
        <is>
          <t>Ramanan — the 3-week pilot version</t>
        </is>
      </c>
      <c r="Y97" s="3" t="inlineStr">
        <is>
          <t>Hi Ramanan,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97" t="inlineStr">
        <is>
          <t>Last note — AI on ERP at UPL</t>
        </is>
      </c>
      <c r="AA97" s="3" t="inlineStr">
        <is>
          <t>Hi Ramanan,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97" t="inlineStr">
        <is>
          <t>Draft</t>
        </is>
      </c>
      <c r="AC97" t="n">
        <v>0</v>
      </c>
      <c r="AD97" t="inlineStr"/>
      <c r="AE97" t="inlineStr"/>
      <c r="AF97" t="inlineStr"/>
    </row>
    <row r="98">
      <c r="A98" t="inlineStr">
        <is>
          <t>Jayant</t>
        </is>
      </c>
      <c r="B98" t="inlineStr">
        <is>
          <t>Bate</t>
        </is>
      </c>
      <c r="C98" t="inlineStr">
        <is>
          <t>Vice President Operations</t>
        </is>
      </c>
      <c r="D98" t="inlineStr">
        <is>
          <t>Alok Industries Ltd</t>
        </is>
      </c>
      <c r="E98" t="inlineStr">
        <is>
          <t>jayant.bate@alokind.com</t>
        </is>
      </c>
      <c r="F98" t="n">
        <v>23000</v>
      </c>
      <c r="G98" t="inlineStr">
        <is>
          <t>textiles</t>
        </is>
      </c>
      <c r="H98" t="inlineStr">
        <is>
          <t>http://www.linkedin.com/in/jayant-bate-393473264</t>
        </is>
      </c>
      <c r="I98" t="inlineStr">
        <is>
          <t>https://alokind.com</t>
        </is>
      </c>
      <c r="J98" t="inlineStr">
        <is>
          <t>Silvassa</t>
        </is>
      </c>
      <c r="K98" t="inlineStr">
        <is>
          <t>Dadra and Nagar Haveli and Daman and Diu</t>
        </is>
      </c>
      <c r="L98" t="inlineStr">
        <is>
          <t>India</t>
        </is>
      </c>
      <c r="M98" t="n">
        <v>438895000</v>
      </c>
      <c r="N98" s="4" t="n">
        <v>88</v>
      </c>
      <c r="O98" s="4" t="inlineStr">
        <is>
          <t>B - Warm</t>
        </is>
      </c>
      <c r="P98" t="inlineStr">
        <is>
          <t>Tier 1 - C-Suite/Founder</t>
        </is>
      </c>
      <c r="Q98" t="inlineStr">
        <is>
          <t>C-Suite/Founder / Ops/Tech/Finance/Commercial</t>
        </is>
      </c>
      <c r="R98" t="inlineStr"/>
      <c r="S98" s="3" t="inlineStr">
        <is>
          <t>Hi Jayant, I work with textiles leaders on fewer stockouts and far less manual reconciliation — lightweight AI that plugs into the ERP you already run. Given your seat at Alok Industries Ltd, thought it was worth connecting.</t>
        </is>
      </c>
      <c r="T98" s="3" t="inlineStr">
        <is>
          <t>Glad to be connected, Jayant. Most textiles teams we meet struggle with delivery-date slippage and yarn/greige inventory pile-ups. We fix exactly that with production scheduling and order-to-dispatch tracking layered on your ERP. Open to a 15-minute walkthrough?</t>
        </is>
      </c>
      <c r="U98" s="3" t="inlineStr">
        <is>
          <t>Last note from me, Jayant — timing is everything with these projects. If an AI-on-ERP pilot becomes relevant at Alok Industries Ltd later, my line's open. Wishing you a strong quarter.</t>
        </is>
      </c>
      <c r="V98" t="inlineStr">
        <is>
          <t>Jayant, a faster fix for delivery-date slippage</t>
        </is>
      </c>
      <c r="W98" s="3" t="inlineStr">
        <is>
          <t>Hi Jayant,
As Vice President Operations at Alok Industries Ltd,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Alok Industries Ltd?
Best,
{{SENDER_NAME}}
{{SENDER_EMAIL}} | Book directly: {{CALENDLY_URL}}
P.S. If this isn't relevant, reply "no thanks" and I won't follow up again.</t>
        </is>
      </c>
      <c r="X98" t="inlineStr">
        <is>
          <t>Re: one small AI use case for Alok Industries Ltd</t>
        </is>
      </c>
      <c r="Y98" s="3" t="inlineStr">
        <is>
          <t>Hi Jayant,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98" t="inlineStr">
        <is>
          <t>Last note — AI on ERP at Alok Industries Ltd</t>
        </is>
      </c>
      <c r="AA98" s="3" t="inlineStr">
        <is>
          <t>Hi Jayant,
I'll close the loop here — inbox zero is sacred.
If delivery-date slippage and yarn/greige inventory pile-ups becomes a priority at Alok Industries Ltd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98" t="inlineStr">
        <is>
          <t>Draft</t>
        </is>
      </c>
      <c r="AC98" t="n">
        <v>0</v>
      </c>
      <c r="AD98" t="inlineStr"/>
      <c r="AE98" t="inlineStr"/>
      <c r="AF98" t="inlineStr"/>
    </row>
    <row r="99">
      <c r="A99" t="inlineStr">
        <is>
          <t>Narahari</t>
        </is>
      </c>
      <c r="B99" t="inlineStr">
        <is>
          <t>N</t>
        </is>
      </c>
      <c r="C99" t="inlineStr">
        <is>
          <t>Chief Operating Officer</t>
        </is>
      </c>
      <c r="D99" t="inlineStr">
        <is>
          <t>Aditya Birla Fashion and Retail Ltd.</t>
        </is>
      </c>
      <c r="E99" t="inlineStr">
        <is>
          <t>n.narahari@abfrl.adityabirla.com</t>
        </is>
      </c>
      <c r="F99" t="n">
        <v>27000</v>
      </c>
      <c r="G99" t="inlineStr">
        <is>
          <t>apparel &amp; fashion</t>
        </is>
      </c>
      <c r="H99" t="inlineStr">
        <is>
          <t>http://www.linkedin.com/in/narahari-n-805199294</t>
        </is>
      </c>
      <c r="I99" t="inlineStr">
        <is>
          <t>https://abfrl.com</t>
        </is>
      </c>
      <c r="J99" t="inlineStr">
        <is>
          <t>Bengaluru</t>
        </is>
      </c>
      <c r="K99" t="inlineStr">
        <is>
          <t>Karnataka</t>
        </is>
      </c>
      <c r="L99" t="inlineStr">
        <is>
          <t>India</t>
        </is>
      </c>
      <c r="M99" t="n">
        <v>1550313000</v>
      </c>
      <c r="N99" s="4" t="n">
        <v>88</v>
      </c>
      <c r="O99" s="4" t="inlineStr">
        <is>
          <t>B - Warm</t>
        </is>
      </c>
      <c r="P99" t="inlineStr">
        <is>
          <t>Tier 1 - C-Suite/Founder</t>
        </is>
      </c>
      <c r="Q99" t="inlineStr">
        <is>
          <t>C-Suite/Founder / General</t>
        </is>
      </c>
      <c r="R99" t="inlineStr"/>
      <c r="S99" s="3" t="inlineStr">
        <is>
          <t>Hi Narahari, your work as Chief Operating Officer at Aditya Birla Fashion and Retail Ltd. caught my eye. We build small AI use cases that sit on top of existing ERPs — think measurable margin and working-capital gains within a quarter. Would be glad to connect.</t>
        </is>
      </c>
      <c r="T99" s="3" t="inlineStr">
        <is>
          <t>Thanks for connecting, Narahari. Quick context: we ship size-curve planning and season-buy optimization that reads straight from your ERP. Teams typically start with one narrow use case and see results in weeks, not an ERP-project timeline. Worth a short look for Aditya Birla Fashion and Retail Ltd.?</t>
        </is>
      </c>
      <c r="U99" s="3" t="inlineStr">
        <is>
          <t>Narahari, I'll leave this here rather than keep nudging — if broken size sets and end-of-season markdowns ever climbs the priority list at Aditya Birla Fashion and Retail Ltd., a 15-minute call is all it takes to see if there's a fit. Either way, good luck this quarter.</t>
        </is>
      </c>
      <c r="V99" t="inlineStr">
        <is>
          <t>AI on top of Aditya Birla Fashion and Retail Ltd.'s ERP — one small use case</t>
        </is>
      </c>
      <c r="W99" s="3" t="inlineStr">
        <is>
          <t>Hi Narahari,
As Chief Operating Officer at Aditya Birla Fashion and Retail Ltd.,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Aditya Birla Fashion and Retail Ltd.?
Best,
{{SENDER_NAME}}
{{SENDER_EMAIL}} | Book directly: {{CALENDLY_URL}}
P.S. If this isn't relevant, reply "no thanks" and I won't follow up again.</t>
        </is>
      </c>
      <c r="X99" t="inlineStr">
        <is>
          <t>How teams like Aditya Birla Fashion and Retail Ltd. start with AI on ERP</t>
        </is>
      </c>
      <c r="Y99" s="3" t="inlineStr">
        <is>
          <t>Hi Narahari,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99" t="inlineStr">
        <is>
          <t>Closing the loop, Narahari</t>
        </is>
      </c>
      <c r="AA99" s="3" t="inlineStr">
        <is>
          <t>Hi Narahari,
I'll close the loop here — inbox zero is sacred.
If broken size sets and end-of-season markdowns becomes a priority at Aditya Birla Fashion and Retail Ltd.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99" t="inlineStr">
        <is>
          <t>Draft</t>
        </is>
      </c>
      <c r="AC99" t="n">
        <v>0</v>
      </c>
      <c r="AD99" t="inlineStr"/>
      <c r="AE99" t="inlineStr"/>
      <c r="AF99" t="inlineStr"/>
    </row>
    <row r="100">
      <c r="A100" t="inlineStr">
        <is>
          <t>Aditya</t>
        </is>
      </c>
      <c r="B100" t="inlineStr">
        <is>
          <t>Kelkar</t>
        </is>
      </c>
      <c r="C100" t="inlineStr">
        <is>
          <t>Founder</t>
        </is>
      </c>
      <c r="D100" t="inlineStr">
        <is>
          <t>apace</t>
        </is>
      </c>
      <c r="E100" t="inlineStr">
        <is>
          <t>adityakelkar@keepapace.com</t>
        </is>
      </c>
      <c r="F100" t="n">
        <v>34</v>
      </c>
      <c r="G100" t="inlineStr">
        <is>
          <t>apparel &amp; fashion</t>
        </is>
      </c>
      <c r="H100" t="inlineStr">
        <is>
          <t>http://www.linkedin.com/in/adityakelkar</t>
        </is>
      </c>
      <c r="I100" t="inlineStr">
        <is>
          <t>https://keepapace.com</t>
        </is>
      </c>
      <c r="J100" t="inlineStr">
        <is>
          <t>Pune</t>
        </is>
      </c>
      <c r="K100" t="inlineStr">
        <is>
          <t>Maharashtra</t>
        </is>
      </c>
      <c r="L100" t="inlineStr">
        <is>
          <t>India</t>
        </is>
      </c>
      <c r="M100" t="n">
        <v>37133000</v>
      </c>
      <c r="N100" s="4" t="n">
        <v>87</v>
      </c>
      <c r="O100" s="4" t="inlineStr">
        <is>
          <t>B - Warm</t>
        </is>
      </c>
      <c r="P100" t="inlineStr">
        <is>
          <t>Tier 1 - C-Suite/Founder</t>
        </is>
      </c>
      <c r="Q100" t="inlineStr">
        <is>
          <t>C-Suite/Founder / General management</t>
        </is>
      </c>
      <c r="R100" t="inlineStr"/>
      <c r="S100" s="3" t="inlineStr">
        <is>
          <t>Hi Aditya, we help teams like apace's tackle broken size sets and end-of-season markdowns with AI add-ons to their existing ERP — no replatforming. Keen to connect and swap notes.</t>
        </is>
      </c>
      <c r="T100" s="3" t="inlineStr">
        <is>
          <t>Glad to be connected, Aditya. Most apparel &amp; fashion teams we meet struggle with broken size sets and end-of-season markdowns. We fix exactly that with size-curve planning and season-buy optimization that reads straight from your ERP. Open to a 15-minute walkthrough?</t>
        </is>
      </c>
      <c r="U100" s="3" t="inlineStr">
        <is>
          <t>Aditya, closing the loop so I'm not another unread ping. If it's useful, I can send a one-pager on size-curve planning and season-buy optimization that reads straight from your ERP for apace — zero meetings needed. Just say the word.</t>
        </is>
      </c>
      <c r="V100" t="inlineStr">
        <is>
          <t>Broken size sets at apace?</t>
        </is>
      </c>
      <c r="W100" s="3" t="inlineStr">
        <is>
          <t>Hi Aditya,
As Founder at apace,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apace?
Best,
{{SENDER_NAME}}
{{SENDER_EMAIL}} | Book directly: {{CALENDLY_URL}}
P.S. If this isn't relevant, reply "no thanks" and I won't follow up again.</t>
        </is>
      </c>
      <c r="X100" t="inlineStr">
        <is>
          <t>Re: one small AI use case for apace</t>
        </is>
      </c>
      <c r="Y100" s="3" t="inlineStr">
        <is>
          <t>Hi Aditya,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100" t="inlineStr">
        <is>
          <t>Last note — AI on ERP at apace</t>
        </is>
      </c>
      <c r="AA100" s="3" t="inlineStr">
        <is>
          <t>Hi Aditya,
I'll close the loop here — inbox zero is sacred.
If broken size sets and end-of-season markdowns becomes a priority at apace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100" t="inlineStr">
        <is>
          <t>Draft</t>
        </is>
      </c>
      <c r="AC100" t="n">
        <v>0</v>
      </c>
      <c r="AD100" t="inlineStr"/>
      <c r="AE100" t="inlineStr"/>
      <c r="AF100" t="inlineStr"/>
    </row>
    <row r="101">
      <c r="A101" t="inlineStr">
        <is>
          <t>Sasikumar</t>
        </is>
      </c>
      <c r="B101" t="inlineStr">
        <is>
          <t>Pulikoden</t>
        </is>
      </c>
      <c r="C101" t="inlineStr">
        <is>
          <t>Vice President - Exports</t>
        </is>
      </c>
      <c r="D101" t="inlineStr">
        <is>
          <t>Gokul Refoils &amp; Solvents Ltd</t>
        </is>
      </c>
      <c r="E101" t="inlineStr">
        <is>
          <t>sasikumar@gokulgroup.com</t>
        </is>
      </c>
      <c r="F101" t="n">
        <v>430</v>
      </c>
      <c r="G101" t="inlineStr">
        <is>
          <t>food &amp; beverages</t>
        </is>
      </c>
      <c r="H101" t="inlineStr">
        <is>
          <t>http://www.linkedin.com/in/sasikumarnair</t>
        </is>
      </c>
      <c r="I101" t="inlineStr">
        <is>
          <t>https://gokulgroup.com</t>
        </is>
      </c>
      <c r="J101" t="inlineStr">
        <is>
          <t>Ahmedabad</t>
        </is>
      </c>
      <c r="K101" t="inlineStr">
        <is>
          <t>Gujarat</t>
        </is>
      </c>
      <c r="L101" t="inlineStr">
        <is>
          <t>India</t>
        </is>
      </c>
      <c r="M101" t="n">
        <v>364567000</v>
      </c>
      <c r="N101" s="4" t="n">
        <v>87</v>
      </c>
      <c r="O101" s="4" t="inlineStr">
        <is>
          <t>B - Warm</t>
        </is>
      </c>
      <c r="P101" t="inlineStr">
        <is>
          <t>Tier 1 - C-Suite/Founder</t>
        </is>
      </c>
      <c r="Q101" t="inlineStr">
        <is>
          <t>C-Suite/Founder / Sales/Marketing</t>
        </is>
      </c>
      <c r="R101" t="inlineStr"/>
      <c r="S101" s="3" t="inlineStr">
        <is>
          <t>Hi Sasikumar, your work as Vice President - Exports at Gokul Refoils &amp; Solvents Ltd caught my eye. We build small AI use cases that sit on top of existing ERPs — think measurable margin and working-capital gains within a quarter. Would be glad to connect.</t>
        </is>
      </c>
      <c r="T101" s="3" t="inlineStr">
        <is>
          <t>Appreciate the connect, Sasikumar. One idea for Gokul Refoils &amp; Solvents Ltd: expiry-aware replenishment and wastage prediction wired into your ERP. It runs alongside your current ERP, so there's no migration risk — just one contained pilot. Happy to share how similar teams structure it.</t>
        </is>
      </c>
      <c r="U101" s="3" t="inlineStr">
        <is>
          <t>Sasikumar, I'll leave this here rather than keep nudging — if near-expiry write-offs and distributor claim reconciliation ever climbs the priority list at Gokul Refoils &amp; Solvents Ltd, a 15-minute call is all it takes to see if there's a fit. Either way, good luck this quarter.</t>
        </is>
      </c>
      <c r="V101" t="inlineStr">
        <is>
          <t>AI on top of Gokul Refoils &amp; Solvents Ltd's ERP — one small use case</t>
        </is>
      </c>
      <c r="W101" s="3" t="inlineStr">
        <is>
          <t>Hi Sasikumar,
As Vice President - Exports at Gokul Refoils &amp; Solvents Ltd,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Gokul Refoils &amp; Solvents Ltd?
Best,
{{SENDER_NAME}}
{{SENDER_EMAIL}} | Book directly: {{CALENDLY_URL}}
P.S. If this isn't relevant, reply "no thanks" and I won't follow up again.</t>
        </is>
      </c>
      <c r="X101" t="inlineStr">
        <is>
          <t>Sasikumar — the 3-week pilot version</t>
        </is>
      </c>
      <c r="Y101" s="3" t="inlineStr">
        <is>
          <t>Hi Sasikumar,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01" t="inlineStr">
        <is>
          <t>Closing the loop, Sasikumar</t>
        </is>
      </c>
      <c r="AA101" s="3" t="inlineStr">
        <is>
          <t>Hi Sasikumar,
I'll close the loop here — inbox zero is sacred.
If near-expiry write-offs and distributor claim reconciliation becomes a priority at Gokul Refoils &amp; Solvents Ltd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01" t="inlineStr">
        <is>
          <t>Draft</t>
        </is>
      </c>
      <c r="AC101" t="n">
        <v>0</v>
      </c>
      <c r="AD101" t="inlineStr"/>
      <c r="AE101" t="inlineStr"/>
      <c r="AF101" t="inlineStr"/>
    </row>
    <row r="102">
      <c r="A102" t="inlineStr">
        <is>
          <t>Ramakant</t>
        </is>
      </c>
      <c r="B102" t="inlineStr">
        <is>
          <t>Tripathi</t>
        </is>
      </c>
      <c r="C102" t="inlineStr">
        <is>
          <t>Group CFO</t>
        </is>
      </c>
      <c r="D102" t="inlineStr">
        <is>
          <t>Srinivasa Farms</t>
        </is>
      </c>
      <c r="E102" t="inlineStr">
        <is>
          <t>ramakant.tripathi@srinivasa.co</t>
        </is>
      </c>
      <c r="F102" t="n">
        <v>390</v>
      </c>
      <c r="G102" t="inlineStr">
        <is>
          <t>food production</t>
        </is>
      </c>
      <c r="H102" t="inlineStr">
        <is>
          <t>http://www.linkedin.com/in/caramakanta</t>
        </is>
      </c>
      <c r="I102" t="inlineStr">
        <is>
          <t>https://srinivasafarms.com</t>
        </is>
      </c>
      <c r="J102" t="inlineStr"/>
      <c r="K102" t="inlineStr">
        <is>
          <t>Telangana</t>
        </is>
      </c>
      <c r="L102" t="inlineStr">
        <is>
          <t>India</t>
        </is>
      </c>
      <c r="M102" t="n">
        <v>104000000</v>
      </c>
      <c r="N102" s="4" t="n">
        <v>86</v>
      </c>
      <c r="O102" s="4" t="inlineStr">
        <is>
          <t>B - Warm</t>
        </is>
      </c>
      <c r="P102" t="inlineStr">
        <is>
          <t>Tier 1 - C-Suite/Founder</t>
        </is>
      </c>
      <c r="Q102" t="inlineStr">
        <is>
          <t>C-Suite/Founder / General management</t>
        </is>
      </c>
      <c r="R102" t="inlineStr"/>
      <c r="S102" s="3" t="inlineStr">
        <is>
          <t>Hi Ramakant, we help teams like Srinivasa Farms's tackle batch-to-batch yield swings and manual quality paperwork with AI add-ons to their existing ERP — no replatforming. Keen to connect and swap notes.</t>
        </is>
      </c>
      <c r="T102" s="3" t="inlineStr">
        <is>
          <t>Glad to be connected, Ramakant. Most food production teams we meet struggle with batch-to-batch yield swings and manual quality paperwork. We fix exactly that with yield prediction and QC anomaly detection fed by your ERP batch data. Open to a 15-minute walkthrough?</t>
        </is>
      </c>
      <c r="U102" s="3" t="inlineStr">
        <is>
          <t>Ramakant, closing the loop so I'm not another unread ping. If it's useful, I can send a one-pager on yield prediction and QC anomaly detection fed by your ERP batch data for Srinivasa Farms — zero meetings needed. Just say the word.</t>
        </is>
      </c>
      <c r="V102" t="inlineStr">
        <is>
          <t>AI on top of Srinivasa Farms's ERP — one small use case</t>
        </is>
      </c>
      <c r="W102" s="3" t="inlineStr">
        <is>
          <t>Hi Ramakant,
As Group CFO at Srinivasa Farms,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Srinivasa Farms?
Best,
{{SENDER_NAME}}
{{SENDER_EMAIL}} | Book directly: {{CALENDLY_URL}}
P.S. If this isn't relevant, reply "no thanks" and I won't follow up again.</t>
        </is>
      </c>
      <c r="X102" t="inlineStr">
        <is>
          <t>Ramakant — the 3-week pilot version</t>
        </is>
      </c>
      <c r="Y102" s="3" t="inlineStr">
        <is>
          <t>Hi Ramakant,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02" t="inlineStr">
        <is>
          <t>Last note — AI on ERP at Srinivasa Farms</t>
        </is>
      </c>
      <c r="AA102" s="3" t="inlineStr">
        <is>
          <t>Hi Ramakant,
I'll close the loop here — inbox zero is sacred.
If batch-to-batch yield swings and manual quality paperwork becomes a priority at Srinivasa Farms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02" t="inlineStr">
        <is>
          <t>Draft</t>
        </is>
      </c>
      <c r="AC102" t="n">
        <v>0</v>
      </c>
      <c r="AD102" t="inlineStr"/>
      <c r="AE102" t="inlineStr"/>
      <c r="AF102" t="inlineStr"/>
    </row>
    <row r="103">
      <c r="A103" t="inlineStr">
        <is>
          <t>Ashutosh</t>
        </is>
      </c>
      <c r="B103" t="inlineStr">
        <is>
          <t>Oke</t>
        </is>
      </c>
      <c r="C103" t="inlineStr">
        <is>
          <t>Vice President- Strategy, Sales &amp; Marketing, Global Product Management</t>
        </is>
      </c>
      <c r="D103" t="inlineStr">
        <is>
          <t>Garware Fulflex India Private Limited</t>
        </is>
      </c>
      <c r="E103" t="inlineStr">
        <is>
          <t>ashutosh.oke@fulflex.com</t>
        </is>
      </c>
      <c r="F103" t="n">
        <v>280</v>
      </c>
      <c r="G103" t="inlineStr">
        <is>
          <t>textiles</t>
        </is>
      </c>
      <c r="H103" t="inlineStr">
        <is>
          <t>http://www.linkedin.com/in/ashutosh-okeletscollaborate</t>
        </is>
      </c>
      <c r="I103" t="inlineStr">
        <is>
          <t>http://www.fulflex.com</t>
        </is>
      </c>
      <c r="J103" t="inlineStr">
        <is>
          <t>Pune</t>
        </is>
      </c>
      <c r="K103" t="inlineStr">
        <is>
          <t>Maharashtra</t>
        </is>
      </c>
      <c r="L103" t="inlineStr">
        <is>
          <t>India</t>
        </is>
      </c>
      <c r="M103" t="n">
        <v>38000000</v>
      </c>
      <c r="N103" s="4" t="n">
        <v>86</v>
      </c>
      <c r="O103" s="4" t="inlineStr">
        <is>
          <t>B - Warm</t>
        </is>
      </c>
      <c r="P103" t="inlineStr">
        <is>
          <t>Tier 1 - C-Suite/Founder</t>
        </is>
      </c>
      <c r="Q103" t="inlineStr">
        <is>
          <t>C-Suite/Founder / Ops/Tech/Finance/Commercial</t>
        </is>
      </c>
      <c r="R103" t="inlineStr"/>
      <c r="S103" s="3" t="inlineStr">
        <is>
          <t>Hi Ashutosh, I work with textiles leaders on measurable margin and working-capital gains within a quarter — lightweight AI that plugs into the ERP you already run. Given your seat at Garware Fulflex India Private Limited, thought it was worth connecting.</t>
        </is>
      </c>
      <c r="T103" s="3" t="inlineStr">
        <is>
          <t>Thanks for connecting, Ashutosh. Quick context: we ship production scheduling and order-to-dispatch tracking layered on your ERP. Teams typically start with one narrow use case and see results in weeks, not an ERP-project timeline. Worth a short look for Garware Fulflex India Private Limited?</t>
        </is>
      </c>
      <c r="U103" s="3" t="inlineStr">
        <is>
          <t>Last note from me, Ashutosh — timing is everything with these projects. If an AI-on-ERP pilot becomes relevant at Garware Fulflex India Private Limited later, my line's open. Wishing you a strong quarter.</t>
        </is>
      </c>
      <c r="V103" t="inlineStr">
        <is>
          <t>Delivery-date slippage at Garware Fulflex India Private Limited?</t>
        </is>
      </c>
      <c r="W103" s="3" t="inlineStr">
        <is>
          <t>Hi Ashutosh,
As Vice President- Strategy, Sales &amp; Marketing, Global Product Management at Garware Fulflex India Private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Garware Fulflex India Private Limited?
Best,
{{SENDER_NAME}}
{{SENDER_EMAIL}} | Book directly: {{CALENDLY_URL}}
P.S. If this isn't relevant, reply "no thanks" and I won't follow up again.</t>
        </is>
      </c>
      <c r="X103" t="inlineStr">
        <is>
          <t>Re: one small AI use case for Garware Fulflex India Private Limited</t>
        </is>
      </c>
      <c r="Y103" s="3" t="inlineStr">
        <is>
          <t>Hi Ashutosh,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03" t="inlineStr">
        <is>
          <t>Last note — AI on ERP at Garware Fulflex India Private Limited</t>
        </is>
      </c>
      <c r="AA103" s="3" t="inlineStr">
        <is>
          <t>Hi Ashutosh,
I'll close the loop here — inbox zero is sacred.
If delivery-date slippage and yarn/greige inventory pile-ups becomes a priority at Garware Fulflex India Private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03" t="inlineStr">
        <is>
          <t>Draft</t>
        </is>
      </c>
      <c r="AC103" t="n">
        <v>0</v>
      </c>
      <c r="AD103" t="inlineStr"/>
      <c r="AE103" t="inlineStr"/>
      <c r="AF103" t="inlineStr"/>
    </row>
    <row r="104">
      <c r="A104" t="inlineStr">
        <is>
          <t>Ajit</t>
        </is>
      </c>
      <c r="B104" t="inlineStr">
        <is>
          <t>Chouhan</t>
        </is>
      </c>
      <c r="C104" t="inlineStr">
        <is>
          <t>President &amp; CEO</t>
        </is>
      </c>
      <c r="D104" t="inlineStr">
        <is>
          <t>Garware Fulflex India Private Limited</t>
        </is>
      </c>
      <c r="E104" t="inlineStr">
        <is>
          <t>chouhana@kecrpg.com</t>
        </is>
      </c>
      <c r="F104" t="n">
        <v>280</v>
      </c>
      <c r="G104" t="inlineStr">
        <is>
          <t>textiles</t>
        </is>
      </c>
      <c r="H104" t="inlineStr">
        <is>
          <t>http://www.linkedin.com/in/ajit-singh-chouhan-112b564b</t>
        </is>
      </c>
      <c r="I104" t="inlineStr">
        <is>
          <t>http://www.fulflex.com</t>
        </is>
      </c>
      <c r="J104" t="inlineStr">
        <is>
          <t>Pune</t>
        </is>
      </c>
      <c r="K104" t="inlineStr">
        <is>
          <t>Maharashtra</t>
        </is>
      </c>
      <c r="L104" t="inlineStr">
        <is>
          <t>India</t>
        </is>
      </c>
      <c r="M104" t="n">
        <v>38000000</v>
      </c>
      <c r="N104" s="4" t="n">
        <v>84</v>
      </c>
      <c r="O104" s="4" t="inlineStr">
        <is>
          <t>B - Warm</t>
        </is>
      </c>
      <c r="P104" t="inlineStr">
        <is>
          <t>Tier 1 - C-Suite/Founder</t>
        </is>
      </c>
      <c r="Q104" t="inlineStr">
        <is>
          <t>C-Suite/Founder / General management</t>
        </is>
      </c>
      <c r="R104" t="inlineStr"/>
      <c r="S104" s="3" t="inlineStr">
        <is>
          <t>Hi Ajit, your work as President &amp; CEO at Garware Fulflex India Private Limited caught my eye. We build small AI use cases that sit on top of existing ERPs — think measurable margin and working-capital gains within a quarter. Would be glad to connect.</t>
        </is>
      </c>
      <c r="T104" s="3" t="inlineStr">
        <is>
          <t>Thanks for connecting, Ajit. Quick context: we ship production scheduling and order-to-dispatch tracking layered on your ERP. Teams typically start with one narrow use case and see results in weeks, not an ERP-project timeline. Worth a short look for Garware Fulflex India Private Limited?</t>
        </is>
      </c>
      <c r="U104" s="3" t="inlineStr">
        <is>
          <t>Last note from me, Ajit — timing is everything with these projects. If an AI-on-ERP pilot becomes relevant at Garware Fulflex India Private Limited later, my line's open. Wishing you a strong quarter.</t>
        </is>
      </c>
      <c r="V104" t="inlineStr">
        <is>
          <t>AI on top of Garware Fulflex India Private Limited's ERP — one small use case</t>
        </is>
      </c>
      <c r="W104" s="3" t="inlineStr">
        <is>
          <t>Hi Ajit,
As President &amp; CEO at Garware Fulflex India Private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Garware Fulflex India Private Limited?
Best,
{{SENDER_NAME}}
{{SENDER_EMAIL}} | Book directly: {{CALENDLY_URL}}
P.S. If this isn't relevant, reply "no thanks" and I won't follow up again.</t>
        </is>
      </c>
      <c r="X104" t="inlineStr">
        <is>
          <t>How teams like Garware Fulflex India Private Limited start with AI on ERP</t>
        </is>
      </c>
      <c r="Y104" s="3" t="inlineStr">
        <is>
          <t>Hi Ajit,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04" t="inlineStr">
        <is>
          <t>Should I stay or should I go, Ajit?</t>
        </is>
      </c>
      <c r="AA104" s="3" t="inlineStr">
        <is>
          <t>Hi Ajit,
I'll close the loop here — inbox zero is sacred.
If delivery-date slippage and yarn/greige inventory pile-ups becomes a priority at Garware Fulflex India Private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04" t="inlineStr">
        <is>
          <t>Draft</t>
        </is>
      </c>
      <c r="AC104" t="n">
        <v>0</v>
      </c>
      <c r="AD104" t="inlineStr"/>
      <c r="AE104" t="inlineStr"/>
      <c r="AF104" t="inlineStr"/>
    </row>
    <row r="105">
      <c r="A105" t="inlineStr">
        <is>
          <t>Surabhi</t>
        </is>
      </c>
      <c r="B105" t="inlineStr">
        <is>
          <t>Sen</t>
        </is>
      </c>
      <c r="C105" t="inlineStr">
        <is>
          <t>Chief Marketing Officer, Reliance Retail, Supermarkets &amp; Hypermarkets</t>
        </is>
      </c>
      <c r="D105" t="inlineStr">
        <is>
          <t>Reliance Retail</t>
        </is>
      </c>
      <c r="E105" t="inlineStr">
        <is>
          <t>surabhi.sen@ril.com</t>
        </is>
      </c>
      <c r="F105" t="n">
        <v>246000</v>
      </c>
      <c r="G105" t="inlineStr">
        <is>
          <t>retail</t>
        </is>
      </c>
      <c r="H105" t="inlineStr">
        <is>
          <t>http://www.linkedin.com/in/sensurabhi25</t>
        </is>
      </c>
      <c r="I105" t="inlineStr">
        <is>
          <t>https://relianceretail.com</t>
        </is>
      </c>
      <c r="J105" t="inlineStr">
        <is>
          <t>Mumbai</t>
        </is>
      </c>
      <c r="K105" t="inlineStr">
        <is>
          <t>Maharashtra</t>
        </is>
      </c>
      <c r="L105" t="inlineStr">
        <is>
          <t>India</t>
        </is>
      </c>
      <c r="M105" t="n">
        <v>3864000000</v>
      </c>
      <c r="N105" s="4" t="n">
        <v>84</v>
      </c>
      <c r="O105" s="4" t="inlineStr">
        <is>
          <t>B - Warm</t>
        </is>
      </c>
      <c r="P105" t="inlineStr">
        <is>
          <t>Tier 2 - VP</t>
        </is>
      </c>
      <c r="Q105" t="inlineStr">
        <is>
          <t>VP / Ops/Tech/Finance/Commercial</t>
        </is>
      </c>
      <c r="R105" t="inlineStr"/>
      <c r="S105" s="3" t="inlineStr">
        <is>
          <t>Hi Surabhi, we help teams like Reliance Retail's tackle stockouts and excess inventory that the ERP reports only after the fact with AI add-ons to their existing ERP — no replatforming. Keen to connect and swap notes.</t>
        </is>
      </c>
      <c r="T105" s="3" t="inlineStr">
        <is>
          <t>Glad to be connected, Surabhi. Most retail teams we meet struggle with stockouts and excess inventory that the ERP reports only after the fact. We fix exactly that with SKU-level demand forecasting and auto-replenishment on top of your ERP. Open to a 15-minute walkthrough?</t>
        </is>
      </c>
      <c r="U105" s="3" t="inlineStr">
        <is>
          <t>Surabhi, I'll leave this here rather than keep nudging — if stockouts and excess inventory that the ERP reports only after the fact ever climbs the priority list at Reliance Retail, a 15-minute call is all it takes to see if there's a fit. Either way, good luck this quarter.</t>
        </is>
      </c>
      <c r="V105" t="inlineStr">
        <is>
          <t>Stockouts at Reliance Retail?</t>
        </is>
      </c>
      <c r="W105" s="3" t="inlineStr">
        <is>
          <t>Hi Surabhi,
As Chief Marketing Officer, Reliance Retail, Supermarkets &amp; Hypermarkets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105" t="inlineStr">
        <is>
          <t>Surabhi — the 3-week pilot version</t>
        </is>
      </c>
      <c r="Y105" s="3" t="inlineStr">
        <is>
          <t>Hi Surabhi,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05" t="inlineStr">
        <is>
          <t>Last note — AI on ERP at Reliance Retail</t>
        </is>
      </c>
      <c r="AA105" s="3" t="inlineStr">
        <is>
          <t>Hi Surabhi,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05" t="inlineStr">
        <is>
          <t>Draft</t>
        </is>
      </c>
      <c r="AC105" t="n">
        <v>0</v>
      </c>
      <c r="AD105" t="inlineStr"/>
      <c r="AE105" t="inlineStr"/>
      <c r="AF105" t="inlineStr"/>
    </row>
    <row r="106">
      <c r="A106" t="inlineStr">
        <is>
          <t>Mukesh</t>
        </is>
      </c>
      <c r="B106" t="inlineStr">
        <is>
          <t>Saxena</t>
        </is>
      </c>
      <c r="C106" t="inlineStr">
        <is>
          <t>AVP- Buying &amp; Merchandising - Lee Cooper Footwear - Reliance Retail Ltd</t>
        </is>
      </c>
      <c r="D106" t="inlineStr">
        <is>
          <t>Reliance Retail</t>
        </is>
      </c>
      <c r="E106" t="inlineStr">
        <is>
          <t>mukesh.saxena@ril.com</t>
        </is>
      </c>
      <c r="F106" t="n">
        <v>246000</v>
      </c>
      <c r="G106" t="inlineStr">
        <is>
          <t>retail</t>
        </is>
      </c>
      <c r="H106" t="inlineStr">
        <is>
          <t>http://www.linkedin.com/in/mukesh-saxena-72004115</t>
        </is>
      </c>
      <c r="I106" t="inlineStr">
        <is>
          <t>https://relianceretail.com</t>
        </is>
      </c>
      <c r="J106" t="inlineStr">
        <is>
          <t>Mumbai</t>
        </is>
      </c>
      <c r="K106" t="inlineStr">
        <is>
          <t>Maharashtra</t>
        </is>
      </c>
      <c r="L106" t="inlineStr">
        <is>
          <t>India</t>
        </is>
      </c>
      <c r="M106" t="n">
        <v>3864000000</v>
      </c>
      <c r="N106" s="4" t="n">
        <v>84</v>
      </c>
      <c r="O106" s="4" t="inlineStr">
        <is>
          <t>B - Warm</t>
        </is>
      </c>
      <c r="P106" t="inlineStr">
        <is>
          <t>Tier 2 - VP</t>
        </is>
      </c>
      <c r="Q106" t="inlineStr">
        <is>
          <t>VP / Ops/Tech/Finance/Commercial</t>
        </is>
      </c>
      <c r="R106" t="inlineStr"/>
      <c r="S106" s="3" t="inlineStr">
        <is>
          <t>Hi Mukesh, we help teams like Reliance Retail's tackle stockouts and excess inventory that the ERP reports only after the fact with AI add-ons to their existing ERP — no replatforming. Keen to connect and swap notes.</t>
        </is>
      </c>
      <c r="T106" s="3" t="inlineStr">
        <is>
          <t>Glad to be connected, Mukesh. Most retail teams we meet struggle with stockouts and excess inventory that the ERP reports only after the fact. We fix exactly that with SKU-level demand forecasting and auto-replenishment on top of your ERP. Open to a 15-minute walkthrough?</t>
        </is>
      </c>
      <c r="U106" s="3" t="inlineStr">
        <is>
          <t>Last note from me, Mukesh — timing is everything with these projects. If an AI-on-ERP pilot becomes relevant at Reliance Retail later, my line's open. Wishing you a strong quarter.</t>
        </is>
      </c>
      <c r="V106" t="inlineStr">
        <is>
          <t>Stockouts at Reliance Retail?</t>
        </is>
      </c>
      <c r="W106" s="3" t="inlineStr">
        <is>
          <t>Hi Mukesh,
As AVP- Buying &amp; Merchandising - Lee Cooper Footwear - Reliance Retail Ltd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106" t="inlineStr">
        <is>
          <t>How teams like Reliance Retail start with AI on ERP</t>
        </is>
      </c>
      <c r="Y106" s="3" t="inlineStr">
        <is>
          <t>Hi Mukesh,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06" t="inlineStr">
        <is>
          <t>Last note — AI on ERP at Reliance Retail</t>
        </is>
      </c>
      <c r="AA106" s="3" t="inlineStr">
        <is>
          <t>Hi Mukesh,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06" t="inlineStr">
        <is>
          <t>Draft</t>
        </is>
      </c>
      <c r="AC106" t="n">
        <v>0</v>
      </c>
      <c r="AD106" t="inlineStr"/>
      <c r="AE106" t="inlineStr"/>
      <c r="AF106" t="inlineStr"/>
    </row>
    <row r="107">
      <c r="A107" t="inlineStr">
        <is>
          <t>Manojit</t>
        </is>
      </c>
      <c r="B107" t="inlineStr">
        <is>
          <t>Ghatak</t>
        </is>
      </c>
      <c r="C107" t="inlineStr">
        <is>
          <t>Associate Director, Category Finance - Foods</t>
        </is>
      </c>
      <c r="D107" t="inlineStr">
        <is>
          <t>Tata Consumer Products</t>
        </is>
      </c>
      <c r="E107" t="inlineStr">
        <is>
          <t>manojit.ghatak@tataconsumer.com</t>
        </is>
      </c>
      <c r="F107" t="n">
        <v>9100</v>
      </c>
      <c r="G107" t="inlineStr">
        <is>
          <t>food &amp; beverages</t>
        </is>
      </c>
      <c r="H107" t="inlineStr">
        <is>
          <t>http://www.linkedin.com/in/manojitghatak</t>
        </is>
      </c>
      <c r="I107" t="inlineStr">
        <is>
          <t>https://tataconsumer.com</t>
        </is>
      </c>
      <c r="J107" t="inlineStr">
        <is>
          <t>Mumbai</t>
        </is>
      </c>
      <c r="K107" t="inlineStr">
        <is>
          <t>Maharashtra</t>
        </is>
      </c>
      <c r="L107" t="inlineStr">
        <is>
          <t>India</t>
        </is>
      </c>
      <c r="M107" t="n">
        <v>2083650000</v>
      </c>
      <c r="N107" s="4" t="n">
        <v>83</v>
      </c>
      <c r="O107" s="4" t="inlineStr">
        <is>
          <t>B - Warm</t>
        </is>
      </c>
      <c r="P107" t="inlineStr">
        <is>
          <t>Tier 3 - Director/Head</t>
        </is>
      </c>
      <c r="Q107" t="inlineStr">
        <is>
          <t>Director/Head / Ops/Tech/Finance/Commercial</t>
        </is>
      </c>
      <c r="R107" t="inlineStr"/>
      <c r="S107" s="3" t="inlineStr">
        <is>
          <t>Hi Manojit, I work with food &amp; beverages leaders on recovering margin leakage and freeing working capital trapped in inventory — lightweight AI that plugs into the ERP you already run. Given your seat at Tata Consumer Products, thought it was worth connecting.</t>
        </is>
      </c>
      <c r="T107" s="3" t="inlineStr">
        <is>
          <t>Appreciate the connect, Manojit. One idea for Tata Consumer Products: expiry-aware replenishment and wastage prediction wired into your ERP. It runs alongside your current ERP, so there's no migration risk — just one contained pilot. Happy to share how similar teams structure it.</t>
        </is>
      </c>
      <c r="U107" s="3" t="inlineStr">
        <is>
          <t>Last note from me, Manojit — timing is everything with these projects. If an AI-on-ERP pilot becomes relevant at Tata Consumer Products later, my line's open. Wishing you a strong quarter.</t>
        </is>
      </c>
      <c r="V107" t="inlineStr">
        <is>
          <t>AI on top of Tata Consumer Products's ERP — one small use case</t>
        </is>
      </c>
      <c r="W107" s="3" t="inlineStr">
        <is>
          <t>Hi Manojit,
As Associate Director, Category Finance - Foods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Tata Consumer Products?
Best,
{{SENDER_NAME}}
{{SENDER_EMAIL}} | Book directly: {{CALENDLY_URL}}
P.S. If this isn't relevant, reply "no thanks" and I won't follow up again.</t>
        </is>
      </c>
      <c r="X107" t="inlineStr">
        <is>
          <t>How teams like Tata Consumer Products start with AI on ERP</t>
        </is>
      </c>
      <c r="Y107" s="3" t="inlineStr">
        <is>
          <t>Hi Manojit,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07" t="inlineStr">
        <is>
          <t>Should I stay or should I go, Manojit?</t>
        </is>
      </c>
      <c r="AA107" s="3" t="inlineStr">
        <is>
          <t>Hi Manojit,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07" t="inlineStr">
        <is>
          <t>Draft</t>
        </is>
      </c>
      <c r="AC107" t="n">
        <v>0</v>
      </c>
      <c r="AD107" t="inlineStr"/>
      <c r="AE107" t="inlineStr"/>
      <c r="AF107" t="inlineStr"/>
    </row>
    <row r="108">
      <c r="A108" t="inlineStr">
        <is>
          <t>Gunaseelan</t>
        </is>
      </c>
      <c r="B108" t="inlineStr">
        <is>
          <t>Subbaiyan</t>
        </is>
      </c>
      <c r="C108" t="inlineStr">
        <is>
          <t>Director - Architecture and Infrastructure Operations</t>
        </is>
      </c>
      <c r="D108" t="inlineStr">
        <is>
          <t>Tata Consumer Products</t>
        </is>
      </c>
      <c r="E108" t="inlineStr">
        <is>
          <t>gunaseelan.subbaiyan@tataconsumer.com</t>
        </is>
      </c>
      <c r="F108" t="n">
        <v>9100</v>
      </c>
      <c r="G108" t="inlineStr">
        <is>
          <t>food &amp; beverages</t>
        </is>
      </c>
      <c r="H108" t="inlineStr">
        <is>
          <t>http://www.linkedin.com/in/gunaseelan-subbaiyan-55651935</t>
        </is>
      </c>
      <c r="I108" t="inlineStr">
        <is>
          <t>https://tataconsumer.com</t>
        </is>
      </c>
      <c r="J108" t="inlineStr">
        <is>
          <t>Chennai</t>
        </is>
      </c>
      <c r="K108" t="inlineStr">
        <is>
          <t>Tamil Nadu</t>
        </is>
      </c>
      <c r="L108" t="inlineStr">
        <is>
          <t>India</t>
        </is>
      </c>
      <c r="M108" t="n">
        <v>2083650000</v>
      </c>
      <c r="N108" s="4" t="n">
        <v>83</v>
      </c>
      <c r="O108" s="4" t="inlineStr">
        <is>
          <t>B - Warm</t>
        </is>
      </c>
      <c r="P108" t="inlineStr">
        <is>
          <t>Tier 3 - Director/Head</t>
        </is>
      </c>
      <c r="Q108" t="inlineStr">
        <is>
          <t>Director/Head / Ops/Tech/Finance/Commercial</t>
        </is>
      </c>
      <c r="R108" t="inlineStr"/>
      <c r="S108" s="3" t="inlineStr">
        <is>
          <t>Hi Gunaseelan, we help teams like Tata Consumer Products's tackle near-expiry write-offs and distributor claim reconciliation with AI add-ons to their existing ERP — no replatforming. Keen to connect and swap notes.</t>
        </is>
      </c>
      <c r="T108" s="3" t="inlineStr">
        <is>
          <t>Appreciate the connect, Gunaseelan. One idea for Tata Consumer Products: expiry-aware replenishment and wastage prediction wired into your ERP. It runs alongside your current ERP, so there's no migration risk — just one contained pilot. Happy to share how similar teams structure it.</t>
        </is>
      </c>
      <c r="U108" s="3" t="inlineStr">
        <is>
          <t>Last note from me, Gunaseelan — timing is everything with these projects. If an AI-on-ERP pilot becomes relevant at Tata Consumer Products later, my line's open. Wishing you a strong quarter.</t>
        </is>
      </c>
      <c r="V108" t="inlineStr">
        <is>
          <t>Near-expiry write-offs at Tata Consumer Products?</t>
        </is>
      </c>
      <c r="W108" s="3" t="inlineStr">
        <is>
          <t>Hi Gunaseelan,
As Director - Architecture and Infrastructure Operations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08" t="inlineStr">
        <is>
          <t>How teams like Tata Consumer Products start with AI on ERP</t>
        </is>
      </c>
      <c r="Y108" s="3" t="inlineStr">
        <is>
          <t>Hi Gunaseelan,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08" t="inlineStr">
        <is>
          <t>Last note — AI on ERP at Tata Consumer Products</t>
        </is>
      </c>
      <c r="AA108" s="3" t="inlineStr">
        <is>
          <t>Hi Gunaseelan,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08" t="inlineStr">
        <is>
          <t>Draft</t>
        </is>
      </c>
      <c r="AC108" t="n">
        <v>0</v>
      </c>
      <c r="AD108" t="inlineStr"/>
      <c r="AE108" t="inlineStr"/>
      <c r="AF108" t="inlineStr"/>
    </row>
    <row r="109">
      <c r="A109" t="inlineStr">
        <is>
          <t>Ankur</t>
        </is>
      </c>
      <c r="B109" t="inlineStr">
        <is>
          <t>Mittal</t>
        </is>
      </c>
      <c r="C109" t="inlineStr">
        <is>
          <t>Associate Director- Green Coffee Sourcing</t>
        </is>
      </c>
      <c r="D109" t="inlineStr">
        <is>
          <t>Tata Consumer Products</t>
        </is>
      </c>
      <c r="E109" t="inlineStr">
        <is>
          <t>ankur.mittal@tataconsumer.com</t>
        </is>
      </c>
      <c r="F109" t="n">
        <v>9100</v>
      </c>
      <c r="G109" t="inlineStr">
        <is>
          <t>food &amp; beverages</t>
        </is>
      </c>
      <c r="H109" t="inlineStr">
        <is>
          <t>http://www.linkedin.com/in/ankur-mittal-39865110</t>
        </is>
      </c>
      <c r="I109" t="inlineStr">
        <is>
          <t>https://tataconsumer.com</t>
        </is>
      </c>
      <c r="J109" t="inlineStr">
        <is>
          <t>Bengaluru</t>
        </is>
      </c>
      <c r="K109" t="inlineStr">
        <is>
          <t>Karnataka</t>
        </is>
      </c>
      <c r="L109" t="inlineStr">
        <is>
          <t>India</t>
        </is>
      </c>
      <c r="M109" t="n">
        <v>2083650000</v>
      </c>
      <c r="N109" s="4" t="n">
        <v>83</v>
      </c>
      <c r="O109" s="4" t="inlineStr">
        <is>
          <t>B - Warm</t>
        </is>
      </c>
      <c r="P109" t="inlineStr">
        <is>
          <t>Tier 3 - Director/Head</t>
        </is>
      </c>
      <c r="Q109" t="inlineStr">
        <is>
          <t>Director/Head / Ops/Tech/Finance/Commercial</t>
        </is>
      </c>
      <c r="R109" t="inlineStr"/>
      <c r="S109" s="3" t="inlineStr">
        <is>
          <t>Hi Ankur, I work with food &amp; beverages leaders on adding AI capability without any rip-and-replace of the current ERP — lightweight AI that plugs into the ERP you already run. Given your seat at Tata Consumer Products, thought it was worth connecting.</t>
        </is>
      </c>
      <c r="T109" s="3" t="inlineStr">
        <is>
          <t>Appreciate the connect, Ankur. One idea for Tata Consumer Products: expiry-aware replenishment and wastage prediction wired into your ERP. It runs alongside your current ERP, so there's no migration risk — just one contained pilot. Happy to share how similar teams structure it.</t>
        </is>
      </c>
      <c r="U109" s="3" t="inlineStr">
        <is>
          <t>Ankur, closing the loop so I'm not another unread ping. If it's useful, I can send a one-pager on expiry-aware replenishment and wastage prediction wired into your ERP for Tata Consumer Products — zero meetings needed. Just say the word.</t>
        </is>
      </c>
      <c r="V109" t="inlineStr">
        <is>
          <t>AI on top of Tata Consumer Products's ERP — one small use case</t>
        </is>
      </c>
      <c r="W109" s="3" t="inlineStr">
        <is>
          <t>Hi Ankur,
As Associate Director- Green Coffee Sourcing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09" t="inlineStr">
        <is>
          <t>Ankur — the 3-week pilot version</t>
        </is>
      </c>
      <c r="Y109" s="3" t="inlineStr">
        <is>
          <t>Hi Ankur,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09" t="inlineStr">
        <is>
          <t>Last note — AI on ERP at Tata Consumer Products</t>
        </is>
      </c>
      <c r="AA109" s="3" t="inlineStr">
        <is>
          <t>Hi Ankur,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09" t="inlineStr">
        <is>
          <t>Draft</t>
        </is>
      </c>
      <c r="AC109" t="n">
        <v>0</v>
      </c>
      <c r="AD109" t="inlineStr"/>
      <c r="AE109" t="inlineStr"/>
      <c r="AF109" t="inlineStr"/>
    </row>
    <row r="110">
      <c r="A110" t="inlineStr">
        <is>
          <t>Amit</t>
        </is>
      </c>
      <c r="B110" t="inlineStr">
        <is>
          <t>Gaitonde</t>
        </is>
      </c>
      <c r="C110" t="inlineStr">
        <is>
          <t>Associate Director Digital Transformation</t>
        </is>
      </c>
      <c r="D110" t="inlineStr">
        <is>
          <t>Tata Consumer Products</t>
        </is>
      </c>
      <c r="E110" t="inlineStr">
        <is>
          <t>amit.gaitonde@tataconsumer.com</t>
        </is>
      </c>
      <c r="F110" t="n">
        <v>9100</v>
      </c>
      <c r="G110" t="inlineStr">
        <is>
          <t>food &amp; beverages</t>
        </is>
      </c>
      <c r="H110" t="inlineStr">
        <is>
          <t>http://www.linkedin.com/in/amit-gaitonde-4b840732</t>
        </is>
      </c>
      <c r="I110" t="inlineStr">
        <is>
          <t>https://tataconsumer.com</t>
        </is>
      </c>
      <c r="J110" t="inlineStr">
        <is>
          <t>Bengaluru</t>
        </is>
      </c>
      <c r="K110" t="inlineStr">
        <is>
          <t>Karnataka</t>
        </is>
      </c>
      <c r="L110" t="inlineStr">
        <is>
          <t>India</t>
        </is>
      </c>
      <c r="M110" t="n">
        <v>2083650000</v>
      </c>
      <c r="N110" s="4" t="n">
        <v>83</v>
      </c>
      <c r="O110" s="4" t="inlineStr">
        <is>
          <t>B - Warm</t>
        </is>
      </c>
      <c r="P110" t="inlineStr">
        <is>
          <t>Tier 3 - Director/Head</t>
        </is>
      </c>
      <c r="Q110" t="inlineStr">
        <is>
          <t>Director/Head / Ops/Tech/Finance/Commercial</t>
        </is>
      </c>
      <c r="R110" t="inlineStr"/>
      <c r="S110" s="3" t="inlineStr">
        <is>
          <t>Hi Amit, I work with food &amp; beverages leaders on adding AI capability without any rip-and-replace of the current ERP — lightweight AI that plugs into the ERP you already run. Given your seat at Tata Consumer Products, thought it was worth connecting.</t>
        </is>
      </c>
      <c r="T110" s="3" t="inlineStr">
        <is>
          <t>Thanks for connecting, Amit. Quick context: we ship expiry-aware replenishment and wastage prediction wired into your ERP. Teams typically start with one narrow use case and see results in weeks, not an ERP-project timeline. Worth a short look for Tata Consumer Products?</t>
        </is>
      </c>
      <c r="U110" s="3" t="inlineStr">
        <is>
          <t>Amit, I'll leave this here rather than keep nudging — if near-expiry write-offs and distributor claim reconciliation ever climbs the priority list at Tata Consumer Products, a 15-minute call is all it takes to see if there's a fit. Either way, good luck this quarter.</t>
        </is>
      </c>
      <c r="V110" t="inlineStr">
        <is>
          <t>AI on top of Tata Consumer Products's ERP — one small use case</t>
        </is>
      </c>
      <c r="W110" s="3" t="inlineStr">
        <is>
          <t>Hi Amit,
As Associate Director Digital Transformation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0" t="inlineStr">
        <is>
          <t>Re: one small AI use case for Tata Consumer Products</t>
        </is>
      </c>
      <c r="Y110" s="3" t="inlineStr">
        <is>
          <t>Hi Amit,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0" t="inlineStr">
        <is>
          <t>Last note — AI on ERP at Tata Consumer Products</t>
        </is>
      </c>
      <c r="AA110" s="3" t="inlineStr">
        <is>
          <t>Hi Amit,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0" t="inlineStr">
        <is>
          <t>Draft</t>
        </is>
      </c>
      <c r="AC110" t="n">
        <v>0</v>
      </c>
      <c r="AD110" t="inlineStr"/>
      <c r="AE110" t="inlineStr"/>
      <c r="AF110" t="inlineStr"/>
    </row>
    <row r="111">
      <c r="A111" t="inlineStr">
        <is>
          <t>Akansha</t>
        </is>
      </c>
      <c r="B111" t="inlineStr">
        <is>
          <t>Dixit</t>
        </is>
      </c>
      <c r="C111" t="inlineStr">
        <is>
          <t>Director- Sales &amp; Operations Planning</t>
        </is>
      </c>
      <c r="D111" t="inlineStr">
        <is>
          <t>Tata Consumer Products</t>
        </is>
      </c>
      <c r="E111" t="inlineStr">
        <is>
          <t>akansha.dixit@tataconsumer.com</t>
        </is>
      </c>
      <c r="F111" t="n">
        <v>9100</v>
      </c>
      <c r="G111" t="inlineStr">
        <is>
          <t>food &amp; beverages</t>
        </is>
      </c>
      <c r="H111" t="inlineStr">
        <is>
          <t>http://www.linkedin.com/in/akanshadixit</t>
        </is>
      </c>
      <c r="I111" t="inlineStr">
        <is>
          <t>https://tataconsumer.com</t>
        </is>
      </c>
      <c r="J111" t="inlineStr">
        <is>
          <t>Mumbai</t>
        </is>
      </c>
      <c r="K111" t="inlineStr">
        <is>
          <t>Maharashtra</t>
        </is>
      </c>
      <c r="L111" t="inlineStr">
        <is>
          <t>India</t>
        </is>
      </c>
      <c r="M111" t="n">
        <v>2083650000</v>
      </c>
      <c r="N111" s="4" t="n">
        <v>83</v>
      </c>
      <c r="O111" s="4" t="inlineStr">
        <is>
          <t>B - Warm</t>
        </is>
      </c>
      <c r="P111" t="inlineStr">
        <is>
          <t>Tier 3 - Director/Head</t>
        </is>
      </c>
      <c r="Q111" t="inlineStr">
        <is>
          <t>Director/Head / Ops/Tech/Finance/Commercial</t>
        </is>
      </c>
      <c r="R111" t="inlineStr"/>
      <c r="S111" s="3" t="inlineStr">
        <is>
          <t>Hi Akansha, your work as Director- Sales &amp; Operations Planning at Tata Consumer Products caught my eye. We build small AI use cases that sit on top of existing ERPs — think adding AI capability without any rip-and-replace of the current ERP. Would be glad to connect.</t>
        </is>
      </c>
      <c r="T111" s="3" t="inlineStr">
        <is>
          <t>Glad to be connected, Akansha. Most food &amp; beverages teams we meet struggle with near-expiry write-offs and distributor claim reconciliation. We fix exactly that with expiry-aware replenishment and wastage prediction wired into your ERP. Open to a 15-minute walkthrough?</t>
        </is>
      </c>
      <c r="U111" s="3" t="inlineStr">
        <is>
          <t>Akansha, closing the loop so I'm not another unread ping. If it's useful, I can send a one-pager on expiry-aware replenishment and wastage prediction wired into your ERP for Tata Consumer Products — zero meetings needed. Just say the word.</t>
        </is>
      </c>
      <c r="V111" t="inlineStr">
        <is>
          <t>Near-expiry write-offs at Tata Consumer Products?</t>
        </is>
      </c>
      <c r="W111" s="3" t="inlineStr">
        <is>
          <t>Hi Akansha,
As Director- Sales &amp; Operations Planning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1" t="inlineStr">
        <is>
          <t>Akansha — the 3-week pilot version</t>
        </is>
      </c>
      <c r="Y111" s="3" t="inlineStr">
        <is>
          <t>Hi Akansha,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1" t="inlineStr">
        <is>
          <t>Last note — AI on ERP at Tata Consumer Products</t>
        </is>
      </c>
      <c r="AA111" s="3" t="inlineStr">
        <is>
          <t>Hi Akansha,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1" t="inlineStr">
        <is>
          <t>Draft</t>
        </is>
      </c>
      <c r="AC111" t="n">
        <v>0</v>
      </c>
      <c r="AD111" t="inlineStr"/>
      <c r="AE111" t="inlineStr"/>
      <c r="AF111" t="inlineStr"/>
    </row>
    <row r="112">
      <c r="A112" t="inlineStr">
        <is>
          <t>Bedanga</t>
        </is>
      </c>
      <c r="B112" t="inlineStr">
        <is>
          <t>Sharma</t>
        </is>
      </c>
      <c r="C112" t="inlineStr">
        <is>
          <t>Director - Quality Assurance - South &amp; East and Tea Extractions</t>
        </is>
      </c>
      <c r="D112" t="inlineStr">
        <is>
          <t>Tata Consumer Products</t>
        </is>
      </c>
      <c r="E112" t="inlineStr">
        <is>
          <t>bedanga.sharma@tataconsumer.com</t>
        </is>
      </c>
      <c r="F112" t="n">
        <v>9100</v>
      </c>
      <c r="G112" t="inlineStr">
        <is>
          <t>food &amp; beverages</t>
        </is>
      </c>
      <c r="H112" t="inlineStr">
        <is>
          <t>http://www.linkedin.com/in/bedanga-sharma-5234488</t>
        </is>
      </c>
      <c r="I112" t="inlineStr">
        <is>
          <t>https://tataconsumer.com</t>
        </is>
      </c>
      <c r="J112" t="inlineStr">
        <is>
          <t>Bengaluru</t>
        </is>
      </c>
      <c r="K112" t="inlineStr">
        <is>
          <t>Karnataka</t>
        </is>
      </c>
      <c r="L112" t="inlineStr">
        <is>
          <t>India</t>
        </is>
      </c>
      <c r="M112" t="n">
        <v>2083650000</v>
      </c>
      <c r="N112" s="4" t="n">
        <v>83</v>
      </c>
      <c r="O112" s="4" t="inlineStr">
        <is>
          <t>B - Warm</t>
        </is>
      </c>
      <c r="P112" t="inlineStr">
        <is>
          <t>Tier 3 - Director/Head</t>
        </is>
      </c>
      <c r="Q112" t="inlineStr">
        <is>
          <t>Director/Head / Ops/Tech/Finance/Commercial</t>
        </is>
      </c>
      <c r="R112" t="inlineStr"/>
      <c r="S112" s="3" t="inlineStr">
        <is>
          <t>Hi Bedanga, your work as Director - Quality Assurance - South &amp; East and Tea Extractions at Tata Consumer Products caught my eye. We build small AI use cases that sit on top of existing ERPs — think adding AI capability without any rip-and-replace of the current ERP. Would be glad to connect.</t>
        </is>
      </c>
      <c r="T112" s="3" t="inlineStr">
        <is>
          <t>Thanks for connecting, Bedanga. Quick context: we ship expiry-aware replenishment and wastage prediction wired into your ERP. Teams typically start with one narrow use case and see results in weeks, not an ERP-project timeline. Worth a short look for Tata Consumer Products?</t>
        </is>
      </c>
      <c r="U112" s="3" t="inlineStr">
        <is>
          <t>Bedanga, closing the loop so I'm not another unread ping. If it's useful, I can send a one-pager on expiry-aware replenishment and wastage prediction wired into your ERP for Tata Consumer Products — zero meetings needed. Just say the word.</t>
        </is>
      </c>
      <c r="V112" t="inlineStr">
        <is>
          <t>AI on top of Tata Consumer Products's ERP — one small use case</t>
        </is>
      </c>
      <c r="W112" s="3" t="inlineStr">
        <is>
          <t>Hi Bedanga,
As Director - Quality Assurance - South &amp; East and Tea Extractions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2" t="inlineStr">
        <is>
          <t>Re: one small AI use case for Tata Consumer Products</t>
        </is>
      </c>
      <c r="Y112" s="3" t="inlineStr">
        <is>
          <t>Hi Bedanga,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2" t="inlineStr">
        <is>
          <t>Last note — AI on ERP at Tata Consumer Products</t>
        </is>
      </c>
      <c r="AA112" s="3" t="inlineStr">
        <is>
          <t>Hi Bedanga,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2" t="inlineStr">
        <is>
          <t>Draft</t>
        </is>
      </c>
      <c r="AC112" t="n">
        <v>0</v>
      </c>
      <c r="AD112" t="inlineStr"/>
      <c r="AE112" t="inlineStr"/>
      <c r="AF112" t="inlineStr"/>
    </row>
    <row r="113">
      <c r="A113" t="inlineStr">
        <is>
          <t>Sumohan</t>
        </is>
      </c>
      <c r="B113" t="inlineStr">
        <is>
          <t>Basu</t>
        </is>
      </c>
      <c r="C113" t="inlineStr">
        <is>
          <t>Director Product Quality Assurance</t>
        </is>
      </c>
      <c r="D113" t="inlineStr">
        <is>
          <t>Tata Consumer Products</t>
        </is>
      </c>
      <c r="E113" t="inlineStr">
        <is>
          <t>sumohan.basu@tataconsumer.com</t>
        </is>
      </c>
      <c r="F113" t="n">
        <v>9100</v>
      </c>
      <c r="G113" t="inlineStr">
        <is>
          <t>food &amp; beverages</t>
        </is>
      </c>
      <c r="H113" t="inlineStr">
        <is>
          <t>http://www.linkedin.com/in/sumohan-basu-988562123</t>
        </is>
      </c>
      <c r="I113" t="inlineStr">
        <is>
          <t>https://tataconsumer.com</t>
        </is>
      </c>
      <c r="J113" t="inlineStr">
        <is>
          <t>Bengaluru</t>
        </is>
      </c>
      <c r="K113" t="inlineStr">
        <is>
          <t>Karnataka</t>
        </is>
      </c>
      <c r="L113" t="inlineStr">
        <is>
          <t>India</t>
        </is>
      </c>
      <c r="M113" t="n">
        <v>2083650000</v>
      </c>
      <c r="N113" s="4" t="n">
        <v>83</v>
      </c>
      <c r="O113" s="4" t="inlineStr">
        <is>
          <t>B - Warm</t>
        </is>
      </c>
      <c r="P113" t="inlineStr">
        <is>
          <t>Tier 3 - Director/Head</t>
        </is>
      </c>
      <c r="Q113" t="inlineStr">
        <is>
          <t>Director/Head / Ops/Tech/Finance/Commercial</t>
        </is>
      </c>
      <c r="R113" t="inlineStr"/>
      <c r="S113" s="3" t="inlineStr">
        <is>
          <t>Hi Sumohan, your work as Director Product Quality Assurance at Tata Consumer Products caught my eye. We build small AI use cases that sit on top of existing ERPs — think adding AI capability without any rip-and-replace of the current ERP. Would be glad to connect.</t>
        </is>
      </c>
      <c r="T113" s="3" t="inlineStr">
        <is>
          <t>Appreciate the connect, Sumohan. One idea for Tata Consumer Products: expiry-aware replenishment and wastage prediction wired into your ERP. It runs alongside your current ERP, so there's no migration risk — just one contained pilot. Happy to share how similar teams structure it.</t>
        </is>
      </c>
      <c r="U113" s="3" t="inlineStr">
        <is>
          <t>Sumohan, I'll leave this here rather than keep nudging — if near-expiry write-offs and distributor claim reconciliation ever climbs the priority list at Tata Consumer Products, a 15-minute call is all it takes to see if there's a fit. Either way, good luck this quarter.</t>
        </is>
      </c>
      <c r="V113" t="inlineStr">
        <is>
          <t>AI on top of Tata Consumer Products's ERP — one small use case</t>
        </is>
      </c>
      <c r="W113" s="3" t="inlineStr">
        <is>
          <t>Hi Sumohan,
As Director Product Quality Assurance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3" t="inlineStr">
        <is>
          <t>Sumohan — the 3-week pilot version</t>
        </is>
      </c>
      <c r="Y113" s="3" t="inlineStr">
        <is>
          <t>Hi Sumohan,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3" t="inlineStr">
        <is>
          <t>Last note — AI on ERP at Tata Consumer Products</t>
        </is>
      </c>
      <c r="AA113" s="3" t="inlineStr">
        <is>
          <t>Hi Sumohan,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3" t="inlineStr">
        <is>
          <t>Draft</t>
        </is>
      </c>
      <c r="AC113" t="n">
        <v>0</v>
      </c>
      <c r="AD113" t="inlineStr"/>
      <c r="AE113" t="inlineStr"/>
      <c r="AF113" t="inlineStr"/>
    </row>
    <row r="114">
      <c r="A114" t="inlineStr">
        <is>
          <t>Gurpreet</t>
        </is>
      </c>
      <c r="B114" t="inlineStr">
        <is>
          <t>Singh</t>
        </is>
      </c>
      <c r="C114" t="inlineStr">
        <is>
          <t>Director - Corporate Quality Assurance</t>
        </is>
      </c>
      <c r="D114" t="inlineStr">
        <is>
          <t>Tata Consumer Products</t>
        </is>
      </c>
      <c r="E114" t="inlineStr">
        <is>
          <t>gurpreetsingh@tataconsumer.com</t>
        </is>
      </c>
      <c r="F114" t="n">
        <v>9100</v>
      </c>
      <c r="G114" t="inlineStr">
        <is>
          <t>food &amp; beverages</t>
        </is>
      </c>
      <c r="H114" t="inlineStr">
        <is>
          <t>http://www.linkedin.com/in/gurpreet-singh-12b0b81b</t>
        </is>
      </c>
      <c r="I114" t="inlineStr">
        <is>
          <t>https://tataconsumer.com</t>
        </is>
      </c>
      <c r="J114" t="inlineStr">
        <is>
          <t>Bengaluru</t>
        </is>
      </c>
      <c r="K114" t="inlineStr">
        <is>
          <t>Karnataka</t>
        </is>
      </c>
      <c r="L114" t="inlineStr">
        <is>
          <t>India</t>
        </is>
      </c>
      <c r="M114" t="n">
        <v>2083650000</v>
      </c>
      <c r="N114" s="4" t="n">
        <v>83</v>
      </c>
      <c r="O114" s="4" t="inlineStr">
        <is>
          <t>B - Warm</t>
        </is>
      </c>
      <c r="P114" t="inlineStr">
        <is>
          <t>Tier 3 - Director/Head</t>
        </is>
      </c>
      <c r="Q114" t="inlineStr">
        <is>
          <t>Director/Head / Ops/Tech/Finance/Commercial</t>
        </is>
      </c>
      <c r="R114" t="inlineStr"/>
      <c r="S114" s="3" t="inlineStr">
        <is>
          <t>Hi Gurpreet, I work with food &amp; beverages leaders on adding AI capability without any rip-and-replace of the current ERP — lightweight AI that plugs into the ERP you already run. Given your seat at Tata Consumer Products, thought it was worth connecting.</t>
        </is>
      </c>
      <c r="T114" s="3" t="inlineStr">
        <is>
          <t>Glad to be connected, Gurpreet. Most food &amp; beverages teams we meet struggle with near-expiry write-offs and distributor claim reconciliation. We fix exactly that with expiry-aware replenishment and wastage prediction wired into your ERP. Open to a 15-minute walkthrough?</t>
        </is>
      </c>
      <c r="U114" s="3" t="inlineStr">
        <is>
          <t>Last note from me, Gurpreet — timing is everything with these projects. If an AI-on-ERP pilot becomes relevant at Tata Consumer Products later, my line's open. Wishing you a strong quarter.</t>
        </is>
      </c>
      <c r="V114" t="inlineStr">
        <is>
          <t>Gurpreet, a faster fix for near-expiry write-offs</t>
        </is>
      </c>
      <c r="W114" s="3" t="inlineStr">
        <is>
          <t>Hi Gurpreet,
As Director - Corporate Quality Assurance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4" t="inlineStr">
        <is>
          <t>How teams like Tata Consumer Products start with AI on ERP</t>
        </is>
      </c>
      <c r="Y114" s="3" t="inlineStr">
        <is>
          <t>Hi Gurpreet,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4" t="inlineStr">
        <is>
          <t>Should I stay or should I go, Gurpreet?</t>
        </is>
      </c>
      <c r="AA114" s="3" t="inlineStr">
        <is>
          <t>Hi Gurpreet,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4" t="inlineStr">
        <is>
          <t>Draft</t>
        </is>
      </c>
      <c r="AC114" t="n">
        <v>0</v>
      </c>
      <c r="AD114" t="inlineStr"/>
      <c r="AE114" t="inlineStr"/>
      <c r="AF114" t="inlineStr"/>
    </row>
    <row r="115">
      <c r="A115" t="inlineStr">
        <is>
          <t>Aditya</t>
        </is>
      </c>
      <c r="B115" t="inlineStr">
        <is>
          <t>Jain</t>
        </is>
      </c>
      <c r="C115" t="inlineStr">
        <is>
          <t>Associate Director, Finance Transformation</t>
        </is>
      </c>
      <c r="D115" t="inlineStr">
        <is>
          <t>Tata Consumer Products</t>
        </is>
      </c>
      <c r="E115" t="inlineStr">
        <is>
          <t>aditya.jain@tataconsumer.com</t>
        </is>
      </c>
      <c r="F115" t="n">
        <v>9100</v>
      </c>
      <c r="G115" t="inlineStr">
        <is>
          <t>food &amp; beverages</t>
        </is>
      </c>
      <c r="H115" t="inlineStr">
        <is>
          <t>http://www.linkedin.com/in/aditya-jain-15512144</t>
        </is>
      </c>
      <c r="I115" t="inlineStr">
        <is>
          <t>https://tataconsumer.com</t>
        </is>
      </c>
      <c r="J115" t="inlineStr">
        <is>
          <t>Bengaluru</t>
        </is>
      </c>
      <c r="K115" t="inlineStr">
        <is>
          <t>Karnataka</t>
        </is>
      </c>
      <c r="L115" t="inlineStr">
        <is>
          <t>India</t>
        </is>
      </c>
      <c r="M115" t="n">
        <v>2083650000</v>
      </c>
      <c r="N115" s="4" t="n">
        <v>83</v>
      </c>
      <c r="O115" s="4" t="inlineStr">
        <is>
          <t>B - Warm</t>
        </is>
      </c>
      <c r="P115" t="inlineStr">
        <is>
          <t>Tier 3 - Director/Head</t>
        </is>
      </c>
      <c r="Q115" t="inlineStr">
        <is>
          <t>Director/Head / Ops/Tech/Finance/Commercial</t>
        </is>
      </c>
      <c r="R115" t="inlineStr"/>
      <c r="S115" s="3" t="inlineStr">
        <is>
          <t>Hi Aditya, your work as Associate Director, Finance Transformation at Tata Consumer Products caught my eye. We build small AI use cases that sit on top of existing ERPs — think recovering margin leakage and freeing working capital trapped in inventory. Would be glad to connect.</t>
        </is>
      </c>
      <c r="T115" s="3" t="inlineStr">
        <is>
          <t>Thanks for connecting, Aditya. Quick context: we ship expiry-aware replenishment and wastage prediction wired into your ERP. Teams typically start with one narrow use case and see results in weeks, not an ERP-project timeline. Worth a short look for Tata Consumer Products?</t>
        </is>
      </c>
      <c r="U115" s="3" t="inlineStr">
        <is>
          <t>Aditya, I'll leave this here rather than keep nudging — if near-expiry write-offs and distributor claim reconciliation ever climbs the priority list at Tata Consumer Products, a 15-minute call is all it takes to see if there's a fit. Either way, good luck this quarter.</t>
        </is>
      </c>
      <c r="V115" t="inlineStr">
        <is>
          <t>AI on top of Tata Consumer Products's ERP — one small use case</t>
        </is>
      </c>
      <c r="W115" s="3" t="inlineStr">
        <is>
          <t>Hi Aditya,
As Associate Director, Finance Transformation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Tata Consumer Products?
Best,
{{SENDER_NAME}}
{{SENDER_EMAIL}} | Book directly: {{CALENDLY_URL}}
P.S. If this isn't relevant, reply "no thanks" and I won't follow up again.</t>
        </is>
      </c>
      <c r="X115" t="inlineStr">
        <is>
          <t>Re: one small AI use case for Tata Consumer Products</t>
        </is>
      </c>
      <c r="Y115" s="3" t="inlineStr">
        <is>
          <t>Hi Aditya,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5" t="inlineStr">
        <is>
          <t>Closing the loop, Aditya</t>
        </is>
      </c>
      <c r="AA115" s="3" t="inlineStr">
        <is>
          <t>Hi Aditya,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5" t="inlineStr">
        <is>
          <t>Draft</t>
        </is>
      </c>
      <c r="AC115" t="n">
        <v>0</v>
      </c>
      <c r="AD115" t="inlineStr"/>
      <c r="AE115" t="inlineStr"/>
      <c r="AF115" t="inlineStr"/>
    </row>
    <row r="116">
      <c r="A116" t="inlineStr">
        <is>
          <t>Sheryl</t>
        </is>
      </c>
      <c r="B116" t="inlineStr">
        <is>
          <t>D'Souza</t>
        </is>
      </c>
      <c r="C116" t="inlineStr">
        <is>
          <t>Associate Director - Finance</t>
        </is>
      </c>
      <c r="D116" t="inlineStr">
        <is>
          <t>Tata Consumer Products</t>
        </is>
      </c>
      <c r="E116" t="inlineStr">
        <is>
          <t>sheryl.dsouza@tataconsumer.com</t>
        </is>
      </c>
      <c r="F116" t="n">
        <v>9100</v>
      </c>
      <c r="G116" t="inlineStr">
        <is>
          <t>food &amp; beverages</t>
        </is>
      </c>
      <c r="H116" t="inlineStr">
        <is>
          <t>http://www.linkedin.com/in/sheryl-d-souza-bb1b7166</t>
        </is>
      </c>
      <c r="I116" t="inlineStr">
        <is>
          <t>https://tataconsumer.com</t>
        </is>
      </c>
      <c r="J116" t="inlineStr">
        <is>
          <t>Bengaluru</t>
        </is>
      </c>
      <c r="K116" t="inlineStr">
        <is>
          <t>Karnataka</t>
        </is>
      </c>
      <c r="L116" t="inlineStr">
        <is>
          <t>India</t>
        </is>
      </c>
      <c r="M116" t="n">
        <v>2083650000</v>
      </c>
      <c r="N116" s="4" t="n">
        <v>83</v>
      </c>
      <c r="O116" s="4" t="inlineStr">
        <is>
          <t>B - Warm</t>
        </is>
      </c>
      <c r="P116" t="inlineStr">
        <is>
          <t>Tier 3 - Director/Head</t>
        </is>
      </c>
      <c r="Q116" t="inlineStr">
        <is>
          <t>Director/Head / Ops/Tech/Finance/Commercial</t>
        </is>
      </c>
      <c r="R116" t="inlineStr"/>
      <c r="S116" s="3" t="inlineStr">
        <is>
          <t>Hi Sheryl, we help teams like Tata Consumer Products's tackle near-expiry write-offs and distributor claim reconciliation with AI add-ons to their existing ERP — no replatforming. Keen to connect and swap notes.</t>
        </is>
      </c>
      <c r="T116" s="3" t="inlineStr">
        <is>
          <t>Appreciate the connect, Sheryl. One idea for Tata Consumer Products: expiry-aware replenishment and wastage prediction wired into your ERP. It runs alongside your current ERP, so there's no migration risk — just one contained pilot. Happy to share how similar teams structure it.</t>
        </is>
      </c>
      <c r="U116" s="3" t="inlineStr">
        <is>
          <t>Sheryl, I'll leave this here rather than keep nudging — if near-expiry write-offs and distributor claim reconciliation ever climbs the priority list at Tata Consumer Products, a 15-minute call is all it takes to see if there's a fit. Either way, good luck this quarter.</t>
        </is>
      </c>
      <c r="V116" t="inlineStr">
        <is>
          <t>AI on top of Tata Consumer Products's ERP — one small use case</t>
        </is>
      </c>
      <c r="W116" s="3" t="inlineStr">
        <is>
          <t>Hi Sheryl,
As Associate Director - Finance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Tata Consumer Products?
Best,
{{SENDER_NAME}}
{{SENDER_EMAIL}} | Book directly: {{CALENDLY_URL}}
P.S. If this isn't relevant, reply "no thanks" and I won't follow up again.</t>
        </is>
      </c>
      <c r="X116" t="inlineStr">
        <is>
          <t>Sheryl — the 3-week pilot version</t>
        </is>
      </c>
      <c r="Y116" s="3" t="inlineStr">
        <is>
          <t>Hi Sheryl,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6" t="inlineStr">
        <is>
          <t>Last note — AI on ERP at Tata Consumer Products</t>
        </is>
      </c>
      <c r="AA116" s="3" t="inlineStr">
        <is>
          <t>Hi Sheryl,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6" t="inlineStr">
        <is>
          <t>Draft</t>
        </is>
      </c>
      <c r="AC116" t="n">
        <v>0</v>
      </c>
      <c r="AD116" t="inlineStr"/>
      <c r="AE116" t="inlineStr"/>
      <c r="AF116" t="inlineStr"/>
    </row>
    <row r="117">
      <c r="A117" t="inlineStr">
        <is>
          <t>Manas</t>
        </is>
      </c>
      <c r="B117" t="inlineStr">
        <is>
          <t>Aggarwal</t>
        </is>
      </c>
      <c r="C117" t="inlineStr">
        <is>
          <t>Associate Director - Digital Transformation</t>
        </is>
      </c>
      <c r="D117" t="inlineStr">
        <is>
          <t>Tata Consumer Products</t>
        </is>
      </c>
      <c r="E117" t="inlineStr">
        <is>
          <t>manas.aggarwal@tataconsumer.com</t>
        </is>
      </c>
      <c r="F117" t="n">
        <v>9100</v>
      </c>
      <c r="G117" t="inlineStr">
        <is>
          <t>food &amp; beverages</t>
        </is>
      </c>
      <c r="H117" t="inlineStr">
        <is>
          <t>http://www.linkedin.com/in/manas-j-aggarwal</t>
        </is>
      </c>
      <c r="I117" t="inlineStr">
        <is>
          <t>https://tataconsumer.com</t>
        </is>
      </c>
      <c r="J117" t="inlineStr">
        <is>
          <t>Mumbai</t>
        </is>
      </c>
      <c r="K117" t="inlineStr">
        <is>
          <t>Maharashtra</t>
        </is>
      </c>
      <c r="L117" t="inlineStr">
        <is>
          <t>India</t>
        </is>
      </c>
      <c r="M117" t="n">
        <v>2083650000</v>
      </c>
      <c r="N117" s="4" t="n">
        <v>83</v>
      </c>
      <c r="O117" s="4" t="inlineStr">
        <is>
          <t>B - Warm</t>
        </is>
      </c>
      <c r="P117" t="inlineStr">
        <is>
          <t>Tier 3 - Director/Head</t>
        </is>
      </c>
      <c r="Q117" t="inlineStr">
        <is>
          <t>Director/Head / Ops/Tech/Finance/Commercial</t>
        </is>
      </c>
      <c r="R117" t="inlineStr"/>
      <c r="S117" s="3" t="inlineStr">
        <is>
          <t>Hi Manas, I work with food &amp; beverages leaders on adding AI capability without any rip-and-replace of the current ERP — lightweight AI that plugs into the ERP you already run. Given your seat at Tata Consumer Products, thought it was worth connecting.</t>
        </is>
      </c>
      <c r="T117" s="3" t="inlineStr">
        <is>
          <t>Glad to be connected, Manas. Most food &amp; beverages teams we meet struggle with near-expiry write-offs and distributor claim reconciliation. We fix exactly that with expiry-aware replenishment and wastage prediction wired into your ERP. Open to a 15-minute walkthrough?</t>
        </is>
      </c>
      <c r="U117" s="3" t="inlineStr">
        <is>
          <t>Manas, closing the loop so I'm not another unread ping. If it's useful, I can send a one-pager on expiry-aware replenishment and wastage prediction wired into your ERP for Tata Consumer Products — zero meetings needed. Just say the word.</t>
        </is>
      </c>
      <c r="V117" t="inlineStr">
        <is>
          <t>AI on top of Tata Consumer Products's ERP — one small use case</t>
        </is>
      </c>
      <c r="W117" s="3" t="inlineStr">
        <is>
          <t>Hi Manas,
As Associate Director - Digital Transformation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7" t="inlineStr">
        <is>
          <t>Re: one small AI use case for Tata Consumer Products</t>
        </is>
      </c>
      <c r="Y117" s="3" t="inlineStr">
        <is>
          <t>Hi Manas,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7" t="inlineStr">
        <is>
          <t>Last note — AI on ERP at Tata Consumer Products</t>
        </is>
      </c>
      <c r="AA117" s="3" t="inlineStr">
        <is>
          <t>Hi Manas,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7" t="inlineStr">
        <is>
          <t>Draft</t>
        </is>
      </c>
      <c r="AC117" t="n">
        <v>0</v>
      </c>
      <c r="AD117" t="inlineStr"/>
      <c r="AE117" t="inlineStr"/>
      <c r="AF117" t="inlineStr"/>
    </row>
    <row r="118">
      <c r="A118" t="inlineStr">
        <is>
          <t>Priya</t>
        </is>
      </c>
      <c r="B118" t="inlineStr">
        <is>
          <t>Jain</t>
        </is>
      </c>
      <c r="C118" t="inlineStr">
        <is>
          <t>Associate Director, Corporate Strategy</t>
        </is>
      </c>
      <c r="D118" t="inlineStr">
        <is>
          <t>Tata Consumer Products</t>
        </is>
      </c>
      <c r="E118" t="inlineStr">
        <is>
          <t>priya.jain@tataconsumer.com</t>
        </is>
      </c>
      <c r="F118" t="n">
        <v>9100</v>
      </c>
      <c r="G118" t="inlineStr">
        <is>
          <t>food &amp; beverages</t>
        </is>
      </c>
      <c r="H118" t="inlineStr">
        <is>
          <t>http://www.linkedin.com/in/priya-jain-b991a179</t>
        </is>
      </c>
      <c r="I118" t="inlineStr">
        <is>
          <t>https://tataconsumer.com</t>
        </is>
      </c>
      <c r="J118" t="inlineStr">
        <is>
          <t>Mumbai</t>
        </is>
      </c>
      <c r="K118" t="inlineStr">
        <is>
          <t>Maharashtra</t>
        </is>
      </c>
      <c r="L118" t="inlineStr">
        <is>
          <t>India</t>
        </is>
      </c>
      <c r="M118" t="n">
        <v>2083650000</v>
      </c>
      <c r="N118" s="4" t="n">
        <v>83</v>
      </c>
      <c r="O118" s="4" t="inlineStr">
        <is>
          <t>B - Warm</t>
        </is>
      </c>
      <c r="P118" t="inlineStr">
        <is>
          <t>Tier 3 - Director/Head</t>
        </is>
      </c>
      <c r="Q118" t="inlineStr">
        <is>
          <t>Director/Head / Ops/Tech/Finance/Commercial</t>
        </is>
      </c>
      <c r="R118" t="inlineStr"/>
      <c r="S118" s="3" t="inlineStr">
        <is>
          <t>Hi Priya, I work with food &amp; beverages leaders on adding AI capability without any rip-and-replace of the current ERP — lightweight AI that plugs into the ERP you already run. Given your seat at Tata Consumer Products, thought it was worth connecting.</t>
        </is>
      </c>
      <c r="T118" s="3" t="inlineStr">
        <is>
          <t>Glad to be connected, Priya. Most food &amp; beverages teams we meet struggle with near-expiry write-offs and distributor claim reconciliation. We fix exactly that with expiry-aware replenishment and wastage prediction wired into your ERP. Open to a 15-minute walkthrough?</t>
        </is>
      </c>
      <c r="U118" s="3" t="inlineStr">
        <is>
          <t>Priya, I'll leave this here rather than keep nudging — if near-expiry write-offs and distributor claim reconciliation ever climbs the priority list at Tata Consumer Products, a 15-minute call is all it takes to see if there's a fit. Either way, good luck this quarter.</t>
        </is>
      </c>
      <c r="V118" t="inlineStr">
        <is>
          <t>Near-expiry write-offs at Tata Consumer Products?</t>
        </is>
      </c>
      <c r="W118" s="3" t="inlineStr">
        <is>
          <t>Hi Priya,
As Associate Director, Corporate Strategy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8" t="inlineStr">
        <is>
          <t>How teams like Tata Consumer Products start with AI on ERP</t>
        </is>
      </c>
      <c r="Y118" s="3" t="inlineStr">
        <is>
          <t>Hi Priya,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8" t="inlineStr">
        <is>
          <t>Should I stay or should I go, Priya?</t>
        </is>
      </c>
      <c r="AA118" s="3" t="inlineStr">
        <is>
          <t>Hi Priya,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8" t="inlineStr">
        <is>
          <t>Draft</t>
        </is>
      </c>
      <c r="AC118" t="n">
        <v>0</v>
      </c>
      <c r="AD118" t="inlineStr"/>
      <c r="AE118" t="inlineStr"/>
      <c r="AF118" t="inlineStr"/>
    </row>
    <row r="119">
      <c r="A119" t="inlineStr">
        <is>
          <t>Kunal</t>
        </is>
      </c>
      <c r="B119" t="inlineStr">
        <is>
          <t>Arora</t>
        </is>
      </c>
      <c r="C119" t="inlineStr">
        <is>
          <t>Associate Director- HRBP Supply Chain</t>
        </is>
      </c>
      <c r="D119" t="inlineStr">
        <is>
          <t>Tata Consumer Products</t>
        </is>
      </c>
      <c r="E119" t="inlineStr">
        <is>
          <t>kunal.arora@tataconsumer.com</t>
        </is>
      </c>
      <c r="F119" t="n">
        <v>9100</v>
      </c>
      <c r="G119" t="inlineStr">
        <is>
          <t>food &amp; beverages</t>
        </is>
      </c>
      <c r="H119" t="inlineStr">
        <is>
          <t>http://www.linkedin.com/in/kunal-arora-478a3319</t>
        </is>
      </c>
      <c r="I119" t="inlineStr">
        <is>
          <t>https://tataconsumer.com</t>
        </is>
      </c>
      <c r="J119" t="inlineStr">
        <is>
          <t>Bengaluru</t>
        </is>
      </c>
      <c r="K119" t="inlineStr">
        <is>
          <t>Karnataka</t>
        </is>
      </c>
      <c r="L119" t="inlineStr">
        <is>
          <t>India</t>
        </is>
      </c>
      <c r="M119" t="n">
        <v>2083650000</v>
      </c>
      <c r="N119" s="4" t="n">
        <v>83</v>
      </c>
      <c r="O119" s="4" t="inlineStr">
        <is>
          <t>B - Warm</t>
        </is>
      </c>
      <c r="P119" t="inlineStr">
        <is>
          <t>Tier 3 - Director/Head</t>
        </is>
      </c>
      <c r="Q119" t="inlineStr">
        <is>
          <t>Director/Head / Ops/Tech/Finance/Commercial</t>
        </is>
      </c>
      <c r="R119" t="inlineStr"/>
      <c r="S119" s="3" t="inlineStr">
        <is>
          <t>Hi Kunal, I work with food &amp; beverages leaders on adding AI capability without any rip-and-replace of the current ERP — lightweight AI that plugs into the ERP you already run. Given your seat at Tata Consumer Products, thought it was worth connecting.</t>
        </is>
      </c>
      <c r="T119" s="3" t="inlineStr">
        <is>
          <t>Thanks for connecting, Kunal. Quick context: we ship expiry-aware replenishment and wastage prediction wired into your ERP. Teams typically start with one narrow use case and see results in weeks, not an ERP-project timeline. Worth a short look for Tata Consumer Products?</t>
        </is>
      </c>
      <c r="U119" s="3" t="inlineStr">
        <is>
          <t>Last note from me, Kunal — timing is everything with these projects. If an AI-on-ERP pilot becomes relevant at Tata Consumer Products later, my line's open. Wishing you a strong quarter.</t>
        </is>
      </c>
      <c r="V119" t="inlineStr">
        <is>
          <t>Near-expiry write-offs at Tata Consumer Products?</t>
        </is>
      </c>
      <c r="W119" s="3" t="inlineStr">
        <is>
          <t>Hi Kunal,
As Associate Director- HRBP Supply Chain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19" t="inlineStr">
        <is>
          <t>Kunal — the 3-week pilot version</t>
        </is>
      </c>
      <c r="Y119" s="3" t="inlineStr">
        <is>
          <t>Hi Kunal,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19" t="inlineStr">
        <is>
          <t>Closing the loop, Kunal</t>
        </is>
      </c>
      <c r="AA119" s="3" t="inlineStr">
        <is>
          <t>Hi Kunal,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19" t="inlineStr">
        <is>
          <t>Draft</t>
        </is>
      </c>
      <c r="AC119" t="n">
        <v>0</v>
      </c>
      <c r="AD119" t="inlineStr"/>
      <c r="AE119" t="inlineStr"/>
      <c r="AF119" t="inlineStr"/>
    </row>
    <row r="120">
      <c r="A120" t="inlineStr">
        <is>
          <t>Ritesh</t>
        </is>
      </c>
      <c r="B120" t="inlineStr">
        <is>
          <t>Tiwari</t>
        </is>
      </c>
      <c r="C120" t="inlineStr">
        <is>
          <t>Associate Director-Sales Transformation</t>
        </is>
      </c>
      <c r="D120" t="inlineStr">
        <is>
          <t>Tata Consumer Products</t>
        </is>
      </c>
      <c r="E120" t="inlineStr">
        <is>
          <t>ritesh.tiwari@tataconsumer.com</t>
        </is>
      </c>
      <c r="F120" t="n">
        <v>9100</v>
      </c>
      <c r="G120" t="inlineStr">
        <is>
          <t>food &amp; beverages</t>
        </is>
      </c>
      <c r="H120" t="inlineStr">
        <is>
          <t>http://www.linkedin.com/in/ritesh-tiwari-2b83b848</t>
        </is>
      </c>
      <c r="I120" t="inlineStr">
        <is>
          <t>https://tataconsumer.com</t>
        </is>
      </c>
      <c r="J120" t="inlineStr">
        <is>
          <t>Male</t>
        </is>
      </c>
      <c r="K120" t="inlineStr">
        <is>
          <t>Male</t>
        </is>
      </c>
      <c r="L120" t="inlineStr">
        <is>
          <t>Maldives</t>
        </is>
      </c>
      <c r="M120" t="n">
        <v>2083650000</v>
      </c>
      <c r="N120" s="4" t="n">
        <v>83</v>
      </c>
      <c r="O120" s="4" t="inlineStr">
        <is>
          <t>B - Warm</t>
        </is>
      </c>
      <c r="P120" t="inlineStr">
        <is>
          <t>Tier 3 - Director/Head</t>
        </is>
      </c>
      <c r="Q120" t="inlineStr">
        <is>
          <t>Director/Head / Ops/Tech/Finance/Commercial</t>
        </is>
      </c>
      <c r="R120" t="inlineStr"/>
      <c r="S120" s="3" t="inlineStr">
        <is>
          <t>Hi Ritesh, your work as Associate Director-Sales Transformation at Tata Consumer Products caught my eye. We build small AI use cases that sit on top of existing ERPs — think adding AI capability without any rip-and-replace of the current ERP. Would be glad to connect.</t>
        </is>
      </c>
      <c r="T120" s="3" t="inlineStr">
        <is>
          <t>Thanks for connecting, Ritesh. Quick context: we ship expiry-aware replenishment and wastage prediction wired into your ERP. Teams typically start with one narrow use case and see results in weeks, not an ERP-project timeline. Worth a short look for Tata Consumer Products?</t>
        </is>
      </c>
      <c r="U120" s="3" t="inlineStr">
        <is>
          <t>Last note from me, Ritesh — timing is everything with these projects. If an AI-on-ERP pilot becomes relevant at Tata Consumer Products later, my line's open. Wishing you a strong quarter.</t>
        </is>
      </c>
      <c r="V120" t="inlineStr">
        <is>
          <t>AI on top of Tata Consumer Products's ERP — one small use case</t>
        </is>
      </c>
      <c r="W120" s="3" t="inlineStr">
        <is>
          <t>Hi Ritesh,
As Associate Director-Sales Transformation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20" t="inlineStr">
        <is>
          <t>Ritesh — the 3-week pilot version</t>
        </is>
      </c>
      <c r="Y120" s="3" t="inlineStr">
        <is>
          <t>Hi Ritesh,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20" t="inlineStr">
        <is>
          <t>Closing the loop, Ritesh</t>
        </is>
      </c>
      <c r="AA120" s="3" t="inlineStr">
        <is>
          <t>Hi Ritesh,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20" t="inlineStr">
        <is>
          <t>Draft</t>
        </is>
      </c>
      <c r="AC120" t="n">
        <v>0</v>
      </c>
      <c r="AD120" t="inlineStr"/>
      <c r="AE120" t="inlineStr"/>
      <c r="AF120" t="inlineStr"/>
    </row>
    <row r="121">
      <c r="A121" t="inlineStr">
        <is>
          <t>Chandresh</t>
        </is>
      </c>
      <c r="B121" t="inlineStr">
        <is>
          <t>Punjabi</t>
        </is>
      </c>
      <c r="C121" t="inlineStr">
        <is>
          <t>Chief Financial Officer</t>
        </is>
      </c>
      <c r="D121" t="inlineStr">
        <is>
          <t>SURAT TEXTILE MILLS LIMITED</t>
        </is>
      </c>
      <c r="E121" t="inlineStr">
        <is>
          <t>chandresh.punjabi@stml.in</t>
        </is>
      </c>
      <c r="F121" t="n">
        <v>120</v>
      </c>
      <c r="G121" t="inlineStr">
        <is>
          <t>textiles</t>
        </is>
      </c>
      <c r="H121" t="inlineStr">
        <is>
          <t>http://www.linkedin.com/in/chandresh-punjabi-7782102b</t>
        </is>
      </c>
      <c r="I121" t="inlineStr">
        <is>
          <t>https://stml.in</t>
        </is>
      </c>
      <c r="J121" t="inlineStr">
        <is>
          <t>Surat</t>
        </is>
      </c>
      <c r="K121" t="inlineStr">
        <is>
          <t>Gujarat</t>
        </is>
      </c>
      <c r="L121" t="inlineStr">
        <is>
          <t>India</t>
        </is>
      </c>
      <c r="M121" t="n">
        <v>42000000</v>
      </c>
      <c r="N121" s="4" t="n">
        <v>82</v>
      </c>
      <c r="O121" s="4" t="inlineStr">
        <is>
          <t>B - Warm</t>
        </is>
      </c>
      <c r="P121" t="inlineStr">
        <is>
          <t>Tier 1 - C-Suite/Founder</t>
        </is>
      </c>
      <c r="Q121" t="inlineStr">
        <is>
          <t>C-Suite/Founder / Ops/Tech/Finance/Commercial</t>
        </is>
      </c>
      <c r="R121" t="inlineStr"/>
      <c r="S121" s="3" t="inlineStr">
        <is>
          <t>Hi Chandresh, your work as Chief Financial Officer at SURAT TEXTILE MILLS LIMITED caught my eye. We build small AI use cases that sit on top of existing ERPs — think recovering margin leakage and freeing working capital trapped in inventory. Would be glad to connect.</t>
        </is>
      </c>
      <c r="T121" s="3" t="inlineStr">
        <is>
          <t>Glad to be connected, Chandresh. Most textiles teams we meet struggle with delivery-date slippage and yarn/greige inventory pile-ups. We fix exactly that with production scheduling and order-to-dispatch tracking layered on your ERP. Open to a 15-minute walkthrough?</t>
        </is>
      </c>
      <c r="U121" s="3" t="inlineStr">
        <is>
          <t>Last note from me, Chandresh — timing is everything with these projects. If an AI-on-ERP pilot becomes relevant at SURAT TEXTILE MILLS LIMITED later, my line's open. Wishing you a strong quarter.</t>
        </is>
      </c>
      <c r="V121" t="inlineStr">
        <is>
          <t>Chandresh, a faster fix for delivery-date slippage</t>
        </is>
      </c>
      <c r="W121" s="3" t="inlineStr">
        <is>
          <t>Hi Chandresh,
As Chief Financial Officer at SURAT TEXTILE MILLS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SURAT TEXTILE MILLS LIMITED?
Best,
{{SENDER_NAME}}
{{SENDER_EMAIL}} | Book directly: {{CALENDLY_URL}}
P.S. If this isn't relevant, reply "no thanks" and I won't follow up again.</t>
        </is>
      </c>
      <c r="X121" t="inlineStr">
        <is>
          <t>Re: one small AI use case for SURAT TEXTILE MILLS LIMITED</t>
        </is>
      </c>
      <c r="Y121" s="3" t="inlineStr">
        <is>
          <t>Hi Chandresh,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21" t="inlineStr">
        <is>
          <t>Last note — AI on ERP at SURAT TEXTILE MILLS LIMITED</t>
        </is>
      </c>
      <c r="AA121" s="3" t="inlineStr">
        <is>
          <t>Hi Chandresh,
I'll close the loop here — inbox zero is sacred.
If delivery-date slippage and yarn/greige inventory pile-ups becomes a priority at SURAT TEXTILE MILLS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21" t="inlineStr">
        <is>
          <t>Draft</t>
        </is>
      </c>
      <c r="AC121" t="n">
        <v>0</v>
      </c>
      <c r="AD121" t="inlineStr"/>
      <c r="AE121" t="inlineStr"/>
      <c r="AF121" t="inlineStr"/>
    </row>
    <row r="122">
      <c r="A122" t="inlineStr">
        <is>
          <t>Pankit</t>
        </is>
      </c>
      <c r="B122" t="inlineStr">
        <is>
          <t>Shah</t>
        </is>
      </c>
      <c r="C122" t="inlineStr">
        <is>
          <t>Chief Financial Officer</t>
        </is>
      </c>
      <c r="D122" t="inlineStr">
        <is>
          <t>GrainSpan Nutrients Pvt. Ltd.</t>
        </is>
      </c>
      <c r="E122" t="inlineStr">
        <is>
          <t>pankit@grainspan.com</t>
        </is>
      </c>
      <c r="F122" t="n">
        <v>150</v>
      </c>
      <c r="G122" t="inlineStr">
        <is>
          <t>food production</t>
        </is>
      </c>
      <c r="H122" t="inlineStr">
        <is>
          <t>http://www.linkedin.com/in/pankit-shah-0aa99968</t>
        </is>
      </c>
      <c r="I122" t="inlineStr">
        <is>
          <t>https://grainspan.com</t>
        </is>
      </c>
      <c r="J122" t="inlineStr">
        <is>
          <t>Ahmedabad</t>
        </is>
      </c>
      <c r="K122" t="inlineStr">
        <is>
          <t>Gujarat</t>
        </is>
      </c>
      <c r="L122" t="inlineStr">
        <is>
          <t>India</t>
        </is>
      </c>
      <c r="M122" t="n">
        <v>88000000</v>
      </c>
      <c r="N122" s="4" t="n">
        <v>82</v>
      </c>
      <c r="O122" s="4" t="inlineStr">
        <is>
          <t>B - Warm</t>
        </is>
      </c>
      <c r="P122" t="inlineStr">
        <is>
          <t>Tier 1 - C-Suite/Founder</t>
        </is>
      </c>
      <c r="Q122" t="inlineStr">
        <is>
          <t>C-Suite/Founder / Ops/Tech/Finance/Commercial</t>
        </is>
      </c>
      <c r="R122" t="inlineStr"/>
      <c r="S122" s="3" t="inlineStr">
        <is>
          <t>Hi Pankit, I work with food production leaders on recovering margin leakage and freeing working capital trapped in inventory — lightweight AI that plugs into the ERP you already run. Given your seat at GrainSpan Nutrients Pvt. Ltd., thought it was worth connecting.</t>
        </is>
      </c>
      <c r="T122" s="3" t="inlineStr">
        <is>
          <t>Thanks for connecting, Pankit. Quick context: we ship yield prediction and QC anomaly detection fed by your ERP batch data. Teams typically start with one narrow use case and see results in weeks, not an ERP-project timeline. Worth a short look for GrainSpan Nutrients Pvt. Ltd.?</t>
        </is>
      </c>
      <c r="U122" s="3" t="inlineStr">
        <is>
          <t>Pankit, closing the loop so I'm not another unread ping. If it's useful, I can send a one-pager on yield prediction and QC anomaly detection fed by your ERP batch data for GrainSpan Nutrients Pvt. Ltd. — zero meetings needed. Just say the word.</t>
        </is>
      </c>
      <c r="V122" t="inlineStr">
        <is>
          <t>AI on top of GrainSpan Nutrients Pvt. Ltd.'s ERP — one small use case</t>
        </is>
      </c>
      <c r="W122" s="3" t="inlineStr">
        <is>
          <t>Hi Pankit,
As Chief Financial Officer at GrainSpan Nutrients Pvt. Ltd.,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GrainSpan Nutrients Pvt. Ltd.?
Best,
{{SENDER_NAME}}
{{SENDER_EMAIL}} | Book directly: {{CALENDLY_URL}}
P.S. If this isn't relevant, reply "no thanks" and I won't follow up again.</t>
        </is>
      </c>
      <c r="X122" t="inlineStr">
        <is>
          <t>Re: one small AI use case for GrainSpan Nutrients Pvt. Ltd.</t>
        </is>
      </c>
      <c r="Y122" s="3" t="inlineStr">
        <is>
          <t>Hi Pankit,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22" t="inlineStr">
        <is>
          <t>Should I stay or should I go, Pankit?</t>
        </is>
      </c>
      <c r="AA122" s="3" t="inlineStr">
        <is>
          <t>Hi Pankit,
I'll close the loop here — inbox zero is sacred.
If batch-to-batch yield swings and manual quality paperwork becomes a priority at GrainSpan Nutrients Pvt. Ltd.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22" t="inlineStr">
        <is>
          <t>Draft</t>
        </is>
      </c>
      <c r="AC122" t="n">
        <v>0</v>
      </c>
      <c r="AD122" t="inlineStr"/>
      <c r="AE122" t="inlineStr"/>
      <c r="AF122" t="inlineStr"/>
    </row>
    <row r="123">
      <c r="A123" t="inlineStr">
        <is>
          <t>Binish</t>
        </is>
      </c>
      <c r="B123" t="inlineStr">
        <is>
          <t>Hamdani</t>
        </is>
      </c>
      <c r="C123" t="inlineStr">
        <is>
          <t>Director Program &amp; Product Management</t>
        </is>
      </c>
      <c r="D123" t="inlineStr">
        <is>
          <t>FirstCry.com (BrainBees Solutions Ltd.)</t>
        </is>
      </c>
      <c r="E123" t="inlineStr">
        <is>
          <t>binish.hamdani@firstcry.com</t>
        </is>
      </c>
      <c r="F123" t="n">
        <v>5400</v>
      </c>
      <c r="G123" t="inlineStr">
        <is>
          <t>retail</t>
        </is>
      </c>
      <c r="H123" t="inlineStr">
        <is>
          <t>http://www.linkedin.com/in/binishmushtaqhamdani</t>
        </is>
      </c>
      <c r="I123" t="inlineStr">
        <is>
          <t>https://firstcry.com</t>
        </is>
      </c>
      <c r="J123" t="inlineStr">
        <is>
          <t>Pune</t>
        </is>
      </c>
      <c r="K123" t="inlineStr">
        <is>
          <t>Maharashtra</t>
        </is>
      </c>
      <c r="L123" t="inlineStr">
        <is>
          <t>India</t>
        </is>
      </c>
      <c r="M123" t="n">
        <v>685487000</v>
      </c>
      <c r="N123" s="4" t="n">
        <v>82</v>
      </c>
      <c r="O123" s="4" t="inlineStr">
        <is>
          <t>B - Warm</t>
        </is>
      </c>
      <c r="P123" t="inlineStr">
        <is>
          <t>Tier 3 - Director/Head</t>
        </is>
      </c>
      <c r="Q123" t="inlineStr">
        <is>
          <t>Director/Head / General management</t>
        </is>
      </c>
      <c r="R123" t="inlineStr"/>
      <c r="S123" s="3" t="inlineStr">
        <is>
          <t>Hi Binish, I work with retail leaders on adding AI capability without any rip-and-replace of the current ERP — lightweight AI that plugs into the ERP you already run. Given your seat at FirstCry.com (BrainBees Solutions Ltd.), thought it was worth connecting.</t>
        </is>
      </c>
      <c r="T123" s="3" t="inlineStr">
        <is>
          <t>Thanks for connecting, Binish. Quick context: we ship SKU-level demand forecasting and auto-replenishment on top of your ERP. Teams typically start with one narrow use case and see results in weeks, not an ERP-project timeline. Worth a short look for FirstCry.com (BrainBees Solutions Ltd.)?</t>
        </is>
      </c>
      <c r="U123" s="3" t="inlineStr">
        <is>
          <t>Binish, I'll leave this here rather than keep nudging — if stockouts and excess inventory that the ERP reports only after the fact ever climbs the priority list at FirstCry.com (BrainBees Solutions Ltd.), a 15-minute call is all it takes to see if there's a fit. Either way, good luck this quarter.</t>
        </is>
      </c>
      <c r="V123" t="inlineStr">
        <is>
          <t>Stockouts at FirstCry.com (BrainBees Solutions Ltd.)?</t>
        </is>
      </c>
      <c r="W123" s="3" t="inlineStr">
        <is>
          <t>Hi Binish,
As Director Program &amp; Product Management at FirstCry.com (BrainBees Solutions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FirstCry.com (BrainBees Solutions Ltd.)?
Best,
{{SENDER_NAME}}
{{SENDER_EMAIL}} | Book directly: {{CALENDLY_URL}}
P.S. If this isn't relevant, reply "no thanks" and I won't follow up again.</t>
        </is>
      </c>
      <c r="X123" t="inlineStr">
        <is>
          <t>Re: one small AI use case for FirstCry.com (BrainBees Solutions Ltd.)</t>
        </is>
      </c>
      <c r="Y123" s="3" t="inlineStr">
        <is>
          <t>Hi Binish,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23" t="inlineStr">
        <is>
          <t>Closing the loop, Binish</t>
        </is>
      </c>
      <c r="AA123" s="3" t="inlineStr">
        <is>
          <t>Hi Binish,
I'll close the loop here — inbox zero is sacred.
If stockouts and excess inventory that the ERP reports only after the fact becomes a priority at FirstCry.com (BrainBees Solutions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23" t="inlineStr">
        <is>
          <t>Draft</t>
        </is>
      </c>
      <c r="AC123" t="n">
        <v>0</v>
      </c>
      <c r="AD123" t="inlineStr"/>
      <c r="AE123" t="inlineStr"/>
      <c r="AF123" t="inlineStr"/>
    </row>
    <row r="124">
      <c r="A124" t="inlineStr">
        <is>
          <t>Karan</t>
        </is>
      </c>
      <c r="B124" t="inlineStr">
        <is>
          <t>Singla</t>
        </is>
      </c>
      <c r="C124" t="inlineStr">
        <is>
          <t>Chief Operating Officer</t>
        </is>
      </c>
      <c r="D124" t="inlineStr">
        <is>
          <t>The Sleep Company</t>
        </is>
      </c>
      <c r="E124" t="inlineStr">
        <is>
          <t>karan.singla@thesleepcompany.in</t>
        </is>
      </c>
      <c r="F124" t="n">
        <v>630</v>
      </c>
      <c r="G124" t="inlineStr">
        <is>
          <t>furniture</t>
        </is>
      </c>
      <c r="H124" t="inlineStr">
        <is>
          <t>http://www.linkedin.com/in/karan-singla-399a7920</t>
        </is>
      </c>
      <c r="I124" t="inlineStr">
        <is>
          <t>https://thesleepcompany.in</t>
        </is>
      </c>
      <c r="J124" t="inlineStr">
        <is>
          <t>Mumbai</t>
        </is>
      </c>
      <c r="K124" t="inlineStr">
        <is>
          <t>Maharashtra</t>
        </is>
      </c>
      <c r="L124" t="inlineStr">
        <is>
          <t>India</t>
        </is>
      </c>
      <c r="M124" t="n">
        <v>370000000</v>
      </c>
      <c r="N124" s="4" t="n">
        <v>82</v>
      </c>
      <c r="O124" s="4" t="inlineStr">
        <is>
          <t>B - Warm</t>
        </is>
      </c>
      <c r="P124" t="inlineStr">
        <is>
          <t>Tier 1 - C-Suite/Founder</t>
        </is>
      </c>
      <c r="Q124" t="inlineStr">
        <is>
          <t>C-Suite/Founder / General</t>
        </is>
      </c>
      <c r="R124" t="inlineStr"/>
      <c r="S124" s="3" t="inlineStr">
        <is>
          <t>Hi Karan, I work with furniture leaders on measurable margin and working-capital gains within a quarter — lightweight AI that plugs into the ERP you already run. Given your seat at The Sleep Company, thought it was worth connecting.</t>
        </is>
      </c>
      <c r="T124" s="3" t="inlineStr">
        <is>
          <t>Appreciate the connect, Karan. One idea for The Sleep Company: made-to-order lead-time prediction driven by your ERP order book. It runs alongside your current ERP, so there's no migration risk — just one contained pilot. Happy to share how similar teams structure it.</t>
        </is>
      </c>
      <c r="U124" s="3" t="inlineStr">
        <is>
          <t>Karan, I'll leave this here rather than keep nudging — if quoted-vs-actual delivery gaps on custom orders ever climbs the priority list at The Sleep Company, a 15-minute call is all it takes to see if there's a fit. Either way, good luck this quarter.</t>
        </is>
      </c>
      <c r="V124" t="inlineStr">
        <is>
          <t>AI on top of The Sleep Company's ERP — one small use case</t>
        </is>
      </c>
      <c r="W124" s="3" t="inlineStr">
        <is>
          <t>Hi Karan,
As Chief Operating Officer at The Sleep Company, you likely see quoted-vs-actual delivery gaps on custom orders more closely than anyone.
We build AI solutions that plug into your existing ERP for small, high-impact use cases across retail ecosystems — starting with made-to-order lead-time prediction driven by your ERP order book. No rip-and-replace: it reads
from and writes back to the ERP you already run, and one contained use case is
usually live in weeks.
For someone in your seat, the payoff is measurable margin and working-capital gains within a quarter.
Open to a 15-minute call to see if there's a fit for The Sleep Company?
Best,
{{SENDER_NAME}}
{{SENDER_EMAIL}} | Book directly: {{CALENDLY_URL}}
P.S. If this isn't relevant, reply "no thanks" and I won't follow up again.</t>
        </is>
      </c>
      <c r="X124" t="inlineStr">
        <is>
          <t>Karan — the 3-week pilot version</t>
        </is>
      </c>
      <c r="Y124" s="3" t="inlineStr">
        <is>
          <t>Hi Karan,
Following up on my last note. The pattern that works in furniture:
pick one painful, well-bounded problem — for most teams that's quoted-vs-actual delivery gaps on custom orders — and put a
narrow AI layer on the ERP data you already have.
What that looks like in practice:
- Week 1: connect read-only to the ERP, baseline the problem with your data
- Week 2-3: pilot made-to-order lead-time prediction driven by your ERP order book
- Then: keep it only if the numbers justify it
No new platform, no long IT project. Would a 15-minute walkthrough this week or
next work? {{CALENDLY_URL}}
Best,
{{SENDER_NAME}}</t>
        </is>
      </c>
      <c r="Z124" t="inlineStr">
        <is>
          <t>Closing the loop, Karan</t>
        </is>
      </c>
      <c r="AA124" s="3" t="inlineStr">
        <is>
          <t>Hi Karan,
I'll close the loop here — inbox zero is sacred.
If quoted-vs-actual delivery gaps on custom orders becomes a priority at The Sleep Company this year, we're a 15-minute
conversation away: {{CALENDLY_URL}}. If it's easier, I can also send a
one-page overview of made-to-order lead-time prediction driven by your ERP order book that you can forward internally — just reply
"send it".
Either way, thanks for reading, and good luck this quarter.
Best,
{{SENDER_NAME}}
(Reply "unsubscribe" and you won't hear from me again.)</t>
        </is>
      </c>
      <c r="AB124" t="inlineStr">
        <is>
          <t>Draft</t>
        </is>
      </c>
      <c r="AC124" t="n">
        <v>0</v>
      </c>
      <c r="AD124" t="inlineStr"/>
      <c r="AE124" t="inlineStr"/>
      <c r="AF124" t="inlineStr"/>
    </row>
    <row r="125">
      <c r="A125" t="inlineStr">
        <is>
          <t>Sachiin</t>
        </is>
      </c>
      <c r="B125" t="inlineStr">
        <is>
          <t>Kulkarnii</t>
        </is>
      </c>
      <c r="C125" t="inlineStr">
        <is>
          <t>Chief Operating Officer</t>
        </is>
      </c>
      <c r="D125" t="inlineStr">
        <is>
          <t>AYM Syntex Limited</t>
        </is>
      </c>
      <c r="E125" t="inlineStr">
        <is>
          <t>sachiin\_kulkarnii@aymgroup.com</t>
        </is>
      </c>
      <c r="F125" t="n">
        <v>1400</v>
      </c>
      <c r="G125" t="inlineStr">
        <is>
          <t>textiles</t>
        </is>
      </c>
      <c r="H125" t="inlineStr">
        <is>
          <t>http://www.linkedin.com/in/sachiin-kulkarnii-327707a1</t>
        </is>
      </c>
      <c r="I125" t="inlineStr">
        <is>
          <t>https://aymsyntex.com</t>
        </is>
      </c>
      <c r="J125" t="inlineStr">
        <is>
          <t>Valsad</t>
        </is>
      </c>
      <c r="K125" t="inlineStr">
        <is>
          <t>Gujarat</t>
        </is>
      </c>
      <c r="L125" t="inlineStr">
        <is>
          <t>India</t>
        </is>
      </c>
      <c r="M125" t="n">
        <v>176146000</v>
      </c>
      <c r="N125" s="4" t="n">
        <v>82</v>
      </c>
      <c r="O125" s="4" t="inlineStr">
        <is>
          <t>B - Warm</t>
        </is>
      </c>
      <c r="P125" t="inlineStr">
        <is>
          <t>Tier 1 - C-Suite/Founder</t>
        </is>
      </c>
      <c r="Q125" t="inlineStr">
        <is>
          <t>C-Suite/Founder / General</t>
        </is>
      </c>
      <c r="R125" t="inlineStr"/>
      <c r="S125" s="3" t="inlineStr">
        <is>
          <t>Hi Sachiin, I work with textiles leaders on measurable margin and working-capital gains within a quarter — lightweight AI that plugs into the ERP you already run. Given your seat at AYM Syntex Limited, thought it was worth connecting.</t>
        </is>
      </c>
      <c r="T125" s="3" t="inlineStr">
        <is>
          <t>Glad to be connected, Sachiin. Most textiles teams we meet struggle with delivery-date slippage and yarn/greige inventory pile-ups. We fix exactly that with production scheduling and order-to-dispatch tracking layered on your ERP. Open to a 15-minute walkthrough?</t>
        </is>
      </c>
      <c r="U125" s="3" t="inlineStr">
        <is>
          <t>Sachiin, closing the loop so I'm not another unread ping. If it's useful, I can send a one-pager on production scheduling and order-to-dispatch tracking layered on your ERP for AYM Syntex Limited — zero meetings needed. Just say the word.</t>
        </is>
      </c>
      <c r="V125" t="inlineStr">
        <is>
          <t>AI on top of AYM Syntex Limited's ERP — one small use case</t>
        </is>
      </c>
      <c r="W125" s="3" t="inlineStr">
        <is>
          <t>Hi Sachiin,
As Chief Operating Officer at AYM Syntex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AYM Syntex Limited?
Best,
{{SENDER_NAME}}
{{SENDER_EMAIL}} | Book directly: {{CALENDLY_URL}}
P.S. If this isn't relevant, reply "no thanks" and I won't follow up again.</t>
        </is>
      </c>
      <c r="X125" t="inlineStr">
        <is>
          <t>Re: one small AI use case for AYM Syntex Limited</t>
        </is>
      </c>
      <c r="Y125" s="3" t="inlineStr">
        <is>
          <t>Hi Sachiin,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25" t="inlineStr">
        <is>
          <t>Should I stay or should I go, Sachiin?</t>
        </is>
      </c>
      <c r="AA125" s="3" t="inlineStr">
        <is>
          <t>Hi Sachiin,
I'll close the loop here — inbox zero is sacred.
If delivery-date slippage and yarn/greige inventory pile-ups becomes a priority at AYM Syntex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25" t="inlineStr">
        <is>
          <t>Draft</t>
        </is>
      </c>
      <c r="AC125" t="n">
        <v>0</v>
      </c>
      <c r="AD125" t="inlineStr"/>
      <c r="AE125" t="inlineStr"/>
      <c r="AF125" t="inlineStr"/>
    </row>
    <row r="126">
      <c r="A126" t="inlineStr">
        <is>
          <t>Rahul</t>
        </is>
      </c>
      <c r="B126" t="inlineStr">
        <is>
          <t>Arora</t>
        </is>
      </c>
      <c r="C126" t="inlineStr">
        <is>
          <t>Director Product</t>
        </is>
      </c>
      <c r="D126" t="inlineStr">
        <is>
          <t>FirstCry.com (BrainBees Solutions Ltd.)</t>
        </is>
      </c>
      <c r="E126" t="inlineStr">
        <is>
          <t>rahul.arora@firstcry.com</t>
        </is>
      </c>
      <c r="F126" t="n">
        <v>5400</v>
      </c>
      <c r="G126" t="inlineStr">
        <is>
          <t>retail</t>
        </is>
      </c>
      <c r="H126" t="inlineStr">
        <is>
          <t>http://www.linkedin.com/in/rahul-arora-03014923</t>
        </is>
      </c>
      <c r="I126" t="inlineStr">
        <is>
          <t>https://firstcry.com</t>
        </is>
      </c>
      <c r="J126" t="inlineStr">
        <is>
          <t>Pune</t>
        </is>
      </c>
      <c r="K126" t="inlineStr">
        <is>
          <t>Maharashtra</t>
        </is>
      </c>
      <c r="L126" t="inlineStr">
        <is>
          <t>India</t>
        </is>
      </c>
      <c r="M126" t="n">
        <v>685487000</v>
      </c>
      <c r="N126" s="4" t="n">
        <v>82</v>
      </c>
      <c r="O126" s="4" t="inlineStr">
        <is>
          <t>B - Warm</t>
        </is>
      </c>
      <c r="P126" t="inlineStr">
        <is>
          <t>Tier 3 - Director/Head</t>
        </is>
      </c>
      <c r="Q126" t="inlineStr">
        <is>
          <t>Director/Head / General management</t>
        </is>
      </c>
      <c r="R126" t="inlineStr"/>
      <c r="S126" s="3" t="inlineStr">
        <is>
          <t>Hi Rahul, I work with retail leaders on adding AI capability without any rip-and-replace of the current ERP — lightweight AI that plugs into the ERP you already run. Given your seat at FirstCry.com (BrainBees Solutions Ltd.), thought it was worth connecting.</t>
        </is>
      </c>
      <c r="T126" s="3" t="inlineStr">
        <is>
          <t>Thanks for connecting, Rahul. Quick context: we ship SKU-level demand forecasting and auto-replenishment on top of your ERP. Teams typically start with one narrow use case and see results in weeks, not an ERP-project timeline. Worth a short look for FirstCry.com (BrainBees Solutions Ltd.)?</t>
        </is>
      </c>
      <c r="U126" s="3" t="inlineStr">
        <is>
          <t>Rahul, closing the loop so I'm not another unread ping. If it's useful, I can send a one-pager on SKU-level demand forecasting and auto-replenishment on top of your ERP for FirstCry.com (BrainBees Solutions Ltd.) — zero meetings needed. Just say the word.</t>
        </is>
      </c>
      <c r="V126" t="inlineStr">
        <is>
          <t>Rahul, a faster fix for stockouts</t>
        </is>
      </c>
      <c r="W126" s="3" t="inlineStr">
        <is>
          <t>Hi Rahul,
As Director Product at FirstCry.com (BrainBees Solutions Ltd.),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FirstCry.com (BrainBees Solutions Ltd.)?
Best,
{{SENDER_NAME}}
{{SENDER_EMAIL}} | Book directly: {{CALENDLY_URL}}
P.S. If this isn't relevant, reply "no thanks" and I won't follow up again.</t>
        </is>
      </c>
      <c r="X126" t="inlineStr">
        <is>
          <t>Re: one small AI use case for FirstCry.com (BrainBees Solutions Ltd.)</t>
        </is>
      </c>
      <c r="Y126" s="3" t="inlineStr">
        <is>
          <t>Hi Rahul,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26" t="inlineStr">
        <is>
          <t>Last note — AI on ERP at FirstCry.com (BrainBees Solutions Ltd.)</t>
        </is>
      </c>
      <c r="AA126" s="3" t="inlineStr">
        <is>
          <t>Hi Rahul,
I'll close the loop here — inbox zero is sacred.
If stockouts and excess inventory that the ERP reports only after the fact becomes a priority at FirstCry.com (BrainBees Solutions Ltd.)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26" t="inlineStr">
        <is>
          <t>Draft</t>
        </is>
      </c>
      <c r="AC126" t="n">
        <v>0</v>
      </c>
      <c r="AD126" t="inlineStr"/>
      <c r="AE126" t="inlineStr"/>
      <c r="AF126" t="inlineStr"/>
    </row>
    <row r="127">
      <c r="A127" t="inlineStr">
        <is>
          <t>Vinod</t>
        </is>
      </c>
      <c r="B127" t="inlineStr">
        <is>
          <t>More</t>
        </is>
      </c>
      <c r="C127" t="inlineStr">
        <is>
          <t>Senior Vice President Human Resources, Facilities and Sustainability</t>
        </is>
      </c>
      <c r="D127" t="inlineStr">
        <is>
          <t>Sunjewels Private Limited</t>
        </is>
      </c>
      <c r="E127" t="inlineStr">
        <is>
          <t>vinod.more@sunjewels.com</t>
        </is>
      </c>
      <c r="F127" t="n">
        <v>290</v>
      </c>
      <c r="G127" t="inlineStr">
        <is>
          <t>luxury goods &amp; jewelry</t>
        </is>
      </c>
      <c r="H127" t="inlineStr">
        <is>
          <t>http://www.linkedin.com/in/vinod-more-548b1827</t>
        </is>
      </c>
      <c r="I127" t="inlineStr">
        <is>
          <t>https://sunjewels.com</t>
        </is>
      </c>
      <c r="J127" t="inlineStr">
        <is>
          <t>Mumbai</t>
        </is>
      </c>
      <c r="K127" t="inlineStr">
        <is>
          <t>Maharashtra</t>
        </is>
      </c>
      <c r="L127" t="inlineStr">
        <is>
          <t>India</t>
        </is>
      </c>
      <c r="M127" t="n">
        <v>81000000</v>
      </c>
      <c r="N127" s="4" t="n">
        <v>82</v>
      </c>
      <c r="O127" s="4" t="inlineStr">
        <is>
          <t>B - Warm</t>
        </is>
      </c>
      <c r="P127" t="inlineStr">
        <is>
          <t>Tier 1 - C-Suite/Founder</t>
        </is>
      </c>
      <c r="Q127" t="inlineStr">
        <is>
          <t>C-Suite/Founder / Support function</t>
        </is>
      </c>
      <c r="R127" t="inlineStr"/>
      <c r="S127" s="3" t="inlineStr">
        <is>
          <t>Hi Vinod, I work with luxury goods &amp; jewelry leaders on measurable margin and working-capital gains within a quarter — lightweight AI that plugs into the ERP you already run. Given your seat at Sunjewels Private Limited, thought it was worth connecting.</t>
        </is>
      </c>
      <c r="T127" s="3" t="inlineStr">
        <is>
          <t>Appreciate the connect, Vinod. One idea for Sunjewels Private Limited: AI add-ons for your ERP — invoice matching, PO automation, demand forecasting. It runs alongside your current ERP, so there's no migration risk — just one contained pilot. Happy to share how similar teams structure it.</t>
        </is>
      </c>
      <c r="U127" s="3" t="inlineStr">
        <is>
          <t>Vinod, I'll leave this here rather than keep nudging — if manual reconciliation work your ERP wasn't built to remove ever climbs the priority list at Sunjewels Private Limited, a 15-minute call is all it takes to see if there's a fit. Either way, good luck this quarter.</t>
        </is>
      </c>
      <c r="V127" t="inlineStr">
        <is>
          <t>Manual reconciliation work your erp wasn't built to remove at Sunjewels Private Limited?</t>
        </is>
      </c>
      <c r="W127" s="3" t="inlineStr">
        <is>
          <t>Hi Vinod,
As Senior Vice President Human Resources, Facilities and Sustainability at Sunjewels Private Limited, you likely see manual reconciliation work your ERP wasn't built to remove more closely than anyone.
We build AI solutions that plug into your existing ERP for small, high-impact use cases across retail ecosystems — starting with AI add-ons for your ERP — invoice matching, PO automation, demand forecasting. No rip-and-replace: it reads
from and writes back to the ERP you already run, and one contained use case is
usually live in weeks.
For someone in your seat, the payoff is measurable margin and working-capital gains within a quarter.
Open to a 15-minute call to see if there's a fit for Sunjewels Private Limited?
Best,
{{SENDER_NAME}}
{{SENDER_EMAIL}} | Book directly: {{CALENDLY_URL}}
P.S. If this isn't relevant, reply "no thanks" and I won't follow up again.</t>
        </is>
      </c>
      <c r="X127" t="inlineStr">
        <is>
          <t>How teams like Sunjewels Private Limited start with AI on ERP</t>
        </is>
      </c>
      <c r="Y127" s="3" t="inlineStr">
        <is>
          <t>Hi Vinod,
Following up on my last note. The pattern that works in luxury goods &amp; jewelry:
pick one painful, well-bounded problem — for most teams that's manual reconciliation work your ERP wasn't built to remove — and put a
narrow AI layer on the ERP data you already have.
What that looks like in practice:
- Week 1: connect read-only to the ERP, baseline the problem with your data
- Week 2-3: pilot AI add-ons for your ERP — invoice matching, PO automation, demand forecasting
- Then: keep it only if the numbers justify it
No new platform, no long IT project. Would a 15-minute walkthrough this week or
next work? {{CALENDLY_URL}}
Best,
{{SENDER_NAME}}</t>
        </is>
      </c>
      <c r="Z127" t="inlineStr">
        <is>
          <t>Last note — AI on ERP at Sunjewels Private Limited</t>
        </is>
      </c>
      <c r="AA127" s="3" t="inlineStr">
        <is>
          <t>Hi Vinod,
I'll close the loop here — inbox zero is sacred.
If manual reconciliation work your ERP wasn't built to remove becomes a priority at Sunjewels Private Limited this year, we're a 15-minute
conversation away: {{CALENDLY_URL}}. If it's easier, I can also send a
one-page overview of AI add-ons for your ERP — invoice matching, PO automation, demand forecasting that you can forward internally — just reply
"send it".
Either way, thanks for reading, and good luck this quarter.
Best,
{{SENDER_NAME}}
(Reply "unsubscribe" and you won't hear from me again.)</t>
        </is>
      </c>
      <c r="AB127" t="inlineStr">
        <is>
          <t>Draft</t>
        </is>
      </c>
      <c r="AC127" t="n">
        <v>0</v>
      </c>
      <c r="AD127" t="inlineStr"/>
      <c r="AE127" t="inlineStr"/>
      <c r="AF127" t="inlineStr"/>
    </row>
    <row r="128">
      <c r="A128" t="inlineStr">
        <is>
          <t>Althaf</t>
        </is>
      </c>
      <c r="B128" t="inlineStr">
        <is>
          <t>Hussain</t>
        </is>
      </c>
      <c r="C128" t="inlineStr">
        <is>
          <t>Vice President Operations</t>
        </is>
      </c>
      <c r="D128" t="inlineStr">
        <is>
          <t>JB Ecotex- PET Plastic Recycler</t>
        </is>
      </c>
      <c r="E128" t="inlineStr">
        <is>
          <t>althaf@jbecotex.com</t>
        </is>
      </c>
      <c r="F128" t="n">
        <v>160</v>
      </c>
      <c r="G128" t="inlineStr">
        <is>
          <t>textiles</t>
        </is>
      </c>
      <c r="H128" t="inlineStr">
        <is>
          <t>http://www.linkedin.com/in/althaf-hussain-a4a9532b9</t>
        </is>
      </c>
      <c r="I128" t="inlineStr">
        <is>
          <t>https://jbecotex.com</t>
        </is>
      </c>
      <c r="J128" t="inlineStr">
        <is>
          <t>Ahmedabad</t>
        </is>
      </c>
      <c r="K128" t="inlineStr">
        <is>
          <t>Gujarat</t>
        </is>
      </c>
      <c r="L128" t="inlineStr">
        <is>
          <t>India</t>
        </is>
      </c>
      <c r="M128" t="n">
        <v>55000000</v>
      </c>
      <c r="N128" s="4" t="n">
        <v>82</v>
      </c>
      <c r="O128" s="4" t="inlineStr">
        <is>
          <t>B - Warm</t>
        </is>
      </c>
      <c r="P128" t="inlineStr">
        <is>
          <t>Tier 1 - C-Suite/Founder</t>
        </is>
      </c>
      <c r="Q128" t="inlineStr">
        <is>
          <t>C-Suite/Founder / Ops/Tech/Finance/Commercial</t>
        </is>
      </c>
      <c r="R128" t="inlineStr"/>
      <c r="S128" s="3" t="inlineStr">
        <is>
          <t>Hi Althaf, I work with textiles leaders on fewer stockouts and far less manual reconciliation — lightweight AI that plugs into the ERP you already run. Given your seat at JB Ecotex- PET Plastic Recycler, thought it was worth connecting.</t>
        </is>
      </c>
      <c r="T128" s="3" t="inlineStr">
        <is>
          <t>Thanks for connecting, Althaf. Quick context: we ship production scheduling and order-to-dispatch tracking layered on your ERP. Teams typically start with one narrow use case and see results in weeks, not an ERP-project timeline. Worth a short look for JB Ecotex- PET Plastic Recycler?</t>
        </is>
      </c>
      <c r="U128" s="3" t="inlineStr">
        <is>
          <t>Last note from me, Althaf — timing is everything with these projects. If an AI-on-ERP pilot becomes relevant at JB Ecotex- PET Plastic Recycler later, my line's open. Wishing you a strong quarter.</t>
        </is>
      </c>
      <c r="V128" t="inlineStr">
        <is>
          <t>Althaf, a faster fix for delivery-date slippage</t>
        </is>
      </c>
      <c r="W128" s="3" t="inlineStr">
        <is>
          <t>Hi Althaf,
As Vice President Operations at JB Ecotex- PET Plastic Recycler,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JB Ecotex- PET Plastic Recycler?
Best,
{{SENDER_NAME}}
{{SENDER_EMAIL}} | Book directly: {{CALENDLY_URL}}
P.S. If this isn't relevant, reply "no thanks" and I won't follow up again.</t>
        </is>
      </c>
      <c r="X128" t="inlineStr">
        <is>
          <t>How teams like JB Ecotex- PET Plastic Recycler start with AI on ERP</t>
        </is>
      </c>
      <c r="Y128" s="3" t="inlineStr">
        <is>
          <t>Hi Althaf,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28" t="inlineStr">
        <is>
          <t>Closing the loop, Althaf</t>
        </is>
      </c>
      <c r="AA128" s="3" t="inlineStr">
        <is>
          <t>Hi Althaf,
I'll close the loop here — inbox zero is sacred.
If delivery-date slippage and yarn/greige inventory pile-ups becomes a priority at JB Ecotex- PET Plastic Recycler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28" t="inlineStr">
        <is>
          <t>Draft</t>
        </is>
      </c>
      <c r="AC128" t="n">
        <v>0</v>
      </c>
      <c r="AD128" t="inlineStr"/>
      <c r="AE128" t="inlineStr"/>
      <c r="AF128" t="inlineStr"/>
    </row>
    <row r="129">
      <c r="A129" t="inlineStr">
        <is>
          <t>Mahendra</t>
        </is>
      </c>
      <c r="B129" t="inlineStr">
        <is>
          <t>Bhadouria</t>
        </is>
      </c>
      <c r="C129" t="inlineStr">
        <is>
          <t>Chief Executive Officer</t>
        </is>
      </c>
      <c r="D129" t="inlineStr">
        <is>
          <t>Garden Vareli</t>
        </is>
      </c>
      <c r="E129" t="inlineStr">
        <is>
          <t>mahendras.bhadouria@gardenvareli.com</t>
        </is>
      </c>
      <c r="F129" t="n">
        <v>800</v>
      </c>
      <c r="G129" t="inlineStr">
        <is>
          <t>textiles</t>
        </is>
      </c>
      <c r="H129" t="inlineStr">
        <is>
          <t>http://www.linkedin.com/in/mahendrasinghbhadouria</t>
        </is>
      </c>
      <c r="I129" t="inlineStr">
        <is>
          <t>https://gardenvareli.com</t>
        </is>
      </c>
      <c r="J129" t="inlineStr">
        <is>
          <t>Gurgaon</t>
        </is>
      </c>
      <c r="K129" t="inlineStr">
        <is>
          <t>Haryana</t>
        </is>
      </c>
      <c r="L129" t="inlineStr">
        <is>
          <t>India</t>
        </is>
      </c>
      <c r="M129" t="n">
        <v>479672000</v>
      </c>
      <c r="N129" s="4" t="n">
        <v>82</v>
      </c>
      <c r="O129" s="4" t="inlineStr">
        <is>
          <t>B - Warm</t>
        </is>
      </c>
      <c r="P129" t="inlineStr">
        <is>
          <t>Tier 1 - C-Suite/Founder</t>
        </is>
      </c>
      <c r="Q129" t="inlineStr">
        <is>
          <t>C-Suite/Founder / General</t>
        </is>
      </c>
      <c r="R129" t="inlineStr"/>
      <c r="S129" s="3" t="inlineStr">
        <is>
          <t>Hi Mahendra, your work as Chief Executive Officer at Garden Vareli caught my eye. We build small AI use cases that sit on top of existing ERPs — think measurable margin and working-capital gains within a quarter. Would be glad to connect.</t>
        </is>
      </c>
      <c r="T129" s="3" t="inlineStr">
        <is>
          <t>Glad to be connected, Mahendra. Most textiles teams we meet struggle with delivery-date slippage and yarn/greige inventory pile-ups. We fix exactly that with production scheduling and order-to-dispatch tracking layered on your ERP. Open to a 15-minute walkthrough?</t>
        </is>
      </c>
      <c r="U129" s="3" t="inlineStr">
        <is>
          <t>Mahendra, closing the loop so I'm not another unread ping. If it's useful, I can send a one-pager on production scheduling and order-to-dispatch tracking layered on your ERP for Garden Vareli — zero meetings needed. Just say the word.</t>
        </is>
      </c>
      <c r="V129" t="inlineStr">
        <is>
          <t>Delivery-date slippage at Garden Vareli?</t>
        </is>
      </c>
      <c r="W129" s="3" t="inlineStr">
        <is>
          <t>Hi Mahendra,
As Chief Executive Officer at Garden Vareli,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Garden Vareli?
Best,
{{SENDER_NAME}}
{{SENDER_EMAIL}} | Book directly: {{CALENDLY_URL}}
P.S. If this isn't relevant, reply "no thanks" and I won't follow up again.</t>
        </is>
      </c>
      <c r="X129" t="inlineStr">
        <is>
          <t>How teams like Garden Vareli start with AI on ERP</t>
        </is>
      </c>
      <c r="Y129" s="3" t="inlineStr">
        <is>
          <t>Hi Mahendra,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29" t="inlineStr">
        <is>
          <t>Should I stay or should I go, Mahendra?</t>
        </is>
      </c>
      <c r="AA129" s="3" t="inlineStr">
        <is>
          <t>Hi Mahendra,
I'll close the loop here — inbox zero is sacred.
If delivery-date slippage and yarn/greige inventory pile-ups becomes a priority at Garden Vareli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29" t="inlineStr">
        <is>
          <t>Draft</t>
        </is>
      </c>
      <c r="AC129" t="n">
        <v>0</v>
      </c>
      <c r="AD129" t="inlineStr"/>
      <c r="AE129" t="inlineStr"/>
      <c r="AF129" t="inlineStr"/>
    </row>
    <row r="130">
      <c r="A130" t="inlineStr">
        <is>
          <t>Sophie</t>
        </is>
      </c>
      <c r="B130" t="inlineStr">
        <is>
          <t>Guattari</t>
        </is>
      </c>
      <c r="C130" t="inlineStr">
        <is>
          <t>Director of Operations</t>
        </is>
      </c>
      <c r="D130" t="inlineStr">
        <is>
          <t>Jean Claude Biguine Paris</t>
        </is>
      </c>
      <c r="E130" t="inlineStr">
        <is>
          <t>sophie.guattari@biguine.us</t>
        </is>
      </c>
      <c r="F130" t="n">
        <v>250</v>
      </c>
      <c r="G130" t="inlineStr">
        <is>
          <t>retail</t>
        </is>
      </c>
      <c r="H130" t="inlineStr">
        <is>
          <t>http://www.linkedin.com/in/sophie-guattari</t>
        </is>
      </c>
      <c r="I130" t="inlineStr">
        <is>
          <t>https://biguine.com</t>
        </is>
      </c>
      <c r="J130" t="inlineStr">
        <is>
          <t>Harrison</t>
        </is>
      </c>
      <c r="K130" t="inlineStr">
        <is>
          <t>New York</t>
        </is>
      </c>
      <c r="L130" t="inlineStr">
        <is>
          <t>United States</t>
        </is>
      </c>
      <c r="M130" t="n">
        <v>190000000</v>
      </c>
      <c r="N130" s="4" t="n">
        <v>81</v>
      </c>
      <c r="O130" s="4" t="inlineStr">
        <is>
          <t>B - Warm</t>
        </is>
      </c>
      <c r="P130" t="inlineStr">
        <is>
          <t>Tier 3 - Director/Head</t>
        </is>
      </c>
      <c r="Q130" t="inlineStr">
        <is>
          <t>Director/Head / Ops/Tech/Finance/Commercial</t>
        </is>
      </c>
      <c r="R130" t="inlineStr"/>
      <c r="S130" s="3" t="inlineStr">
        <is>
          <t>Hi Sophie, your work as Director of Operations at Jean Claude Biguine Paris caught my eye. We build small AI use cases that sit on top of existing ERPs — think adding AI capability without any rip-and-replace of the current ERP. Would be glad to connect.</t>
        </is>
      </c>
      <c r="T130" s="3" t="inlineStr">
        <is>
          <t>Thanks for connecting, Sophie. Quick context: we ship SKU-level demand forecasting and auto-replenishment on top of your ERP. Teams typically start with one narrow use case and see results in weeks, not an ERP-project timeline. Worth a short look for Jean Claude Biguine Paris?</t>
        </is>
      </c>
      <c r="U130" s="3" t="inlineStr">
        <is>
          <t>Last note from me, Sophie — timing is everything with these projects. If an AI-on-ERP pilot becomes relevant at Jean Claude Biguine Paris later, my line's open. Wishing you a strong quarter.</t>
        </is>
      </c>
      <c r="V130" t="inlineStr">
        <is>
          <t>Sophie, a faster fix for stockouts</t>
        </is>
      </c>
      <c r="W130" s="3" t="inlineStr">
        <is>
          <t>Hi Sophie,
As Director of Operations at Jean Claude Biguine Paris,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Jean Claude Biguine Paris?
Best,
{{SENDER_NAME}}
{{SENDER_EMAIL}} | Book directly: {{CALENDLY_URL}}
P.S. If this isn't relevant, reply "no thanks" and I won't follow up again.</t>
        </is>
      </c>
      <c r="X130" t="inlineStr">
        <is>
          <t>How teams like Jean Claude Biguine Paris start with AI on ERP</t>
        </is>
      </c>
      <c r="Y130" s="3" t="inlineStr">
        <is>
          <t>Hi Sophie,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30" t="inlineStr">
        <is>
          <t>Closing the loop, Sophie</t>
        </is>
      </c>
      <c r="AA130" s="3" t="inlineStr">
        <is>
          <t>Hi Sophie,
I'll close the loop here — inbox zero is sacred.
If stockouts and excess inventory that the ERP reports only after the fact becomes a priority at Jean Claude Biguine Paris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30" t="inlineStr">
        <is>
          <t>Draft</t>
        </is>
      </c>
      <c r="AC130" t="n">
        <v>0</v>
      </c>
      <c r="AD130" t="inlineStr"/>
      <c r="AE130" t="inlineStr"/>
      <c r="AF130" t="inlineStr"/>
    </row>
    <row r="131">
      <c r="A131" t="inlineStr">
        <is>
          <t>Deepa</t>
        </is>
      </c>
      <c r="B131" t="inlineStr">
        <is>
          <t>Ac</t>
        </is>
      </c>
      <c r="C131" t="inlineStr">
        <is>
          <t>Associate Director - R\&amp;D</t>
        </is>
      </c>
      <c r="D131" t="inlineStr">
        <is>
          <t>Tata Consumer Products</t>
        </is>
      </c>
      <c r="E131" t="inlineStr">
        <is>
          <t>deepa.chandrappa@tataconsumer.com</t>
        </is>
      </c>
      <c r="F131" t="n">
        <v>9100</v>
      </c>
      <c r="G131" t="inlineStr">
        <is>
          <t>food &amp; beverages</t>
        </is>
      </c>
      <c r="H131" t="inlineStr">
        <is>
          <t>http://www.linkedin.com/in/deepa-ac-7356b91a1</t>
        </is>
      </c>
      <c r="I131" t="inlineStr">
        <is>
          <t>https://tataconsumer.com</t>
        </is>
      </c>
      <c r="J131" t="inlineStr">
        <is>
          <t>Bengaluru</t>
        </is>
      </c>
      <c r="K131" t="inlineStr">
        <is>
          <t>Karnataka</t>
        </is>
      </c>
      <c r="L131" t="inlineStr">
        <is>
          <t>India</t>
        </is>
      </c>
      <c r="M131" t="n">
        <v>2083650000</v>
      </c>
      <c r="N131" s="4" t="n">
        <v>81</v>
      </c>
      <c r="O131" s="4" t="inlineStr">
        <is>
          <t>B - Warm</t>
        </is>
      </c>
      <c r="P131" t="inlineStr">
        <is>
          <t>Tier 3 - Director/Head</t>
        </is>
      </c>
      <c r="Q131" t="inlineStr">
        <is>
          <t>Director/Head / General management</t>
        </is>
      </c>
      <c r="R131" t="inlineStr"/>
      <c r="S131" s="3" t="inlineStr">
        <is>
          <t>Hi Deepa, your work as Associate Director - R\&amp;D at Tata Consumer Products caught my eye. We build small AI use cases that sit on top of existing ERPs — think adding AI capability without any rip-and-replace of the current ERP. Would be glad to connect.</t>
        </is>
      </c>
      <c r="T131" s="3" t="inlineStr">
        <is>
          <t>Glad to be connected, Deepa. Most food &amp; beverages teams we meet struggle with near-expiry write-offs and distributor claim reconciliation. We fix exactly that with expiry-aware replenishment and wastage prediction wired into your ERP. Open to a 15-minute walkthrough?</t>
        </is>
      </c>
      <c r="U131" s="3" t="inlineStr">
        <is>
          <t>Last note from me, Deepa — timing is everything with these projects. If an AI-on-ERP pilot becomes relevant at Tata Consumer Products later, my line's open. Wishing you a strong quarter.</t>
        </is>
      </c>
      <c r="V131" t="inlineStr">
        <is>
          <t>Deepa, a faster fix for near-expiry write-offs</t>
        </is>
      </c>
      <c r="W131" s="3" t="inlineStr">
        <is>
          <t>Hi Deepa,
As Associate Director - R\&amp;D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31" t="inlineStr">
        <is>
          <t>Deepa — the 3-week pilot version</t>
        </is>
      </c>
      <c r="Y131" s="3" t="inlineStr">
        <is>
          <t>Hi Deepa,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31" t="inlineStr">
        <is>
          <t>Closing the loop, Deepa</t>
        </is>
      </c>
      <c r="AA131" s="3" t="inlineStr">
        <is>
          <t>Hi Deepa,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31" t="inlineStr">
        <is>
          <t>Draft</t>
        </is>
      </c>
      <c r="AC131" t="n">
        <v>0</v>
      </c>
      <c r="AD131" t="inlineStr"/>
      <c r="AE131" t="inlineStr"/>
      <c r="AF131" t="inlineStr"/>
    </row>
    <row r="132">
      <c r="A132" t="inlineStr">
        <is>
          <t>Sagar</t>
        </is>
      </c>
      <c r="B132" t="inlineStr">
        <is>
          <t>Bhavsar</t>
        </is>
      </c>
      <c r="C132" t="inlineStr">
        <is>
          <t>Vice President - Exports</t>
        </is>
      </c>
      <c r="D132" t="inlineStr">
        <is>
          <t>Sayaji Industries Limited</t>
        </is>
      </c>
      <c r="E132" t="inlineStr">
        <is>
          <t>scb@sayajigroup.in</t>
        </is>
      </c>
      <c r="F132" t="n">
        <v>730</v>
      </c>
      <c r="G132" t="inlineStr">
        <is>
          <t>food production</t>
        </is>
      </c>
      <c r="H132" t="inlineStr">
        <is>
          <t>http://www.linkedin.com/in/sagar-bhavsar-175b3244</t>
        </is>
      </c>
      <c r="I132" t="inlineStr">
        <is>
          <t>https://sayajigroup.in</t>
        </is>
      </c>
      <c r="J132" t="inlineStr">
        <is>
          <t>Ahmedabad</t>
        </is>
      </c>
      <c r="K132" t="inlineStr">
        <is>
          <t>Gujarat</t>
        </is>
      </c>
      <c r="L132" t="inlineStr">
        <is>
          <t>India</t>
        </is>
      </c>
      <c r="M132" t="n">
        <v>118875000</v>
      </c>
      <c r="N132" s="4" t="n">
        <v>81</v>
      </c>
      <c r="O132" s="4" t="inlineStr">
        <is>
          <t>B - Warm</t>
        </is>
      </c>
      <c r="P132" t="inlineStr">
        <is>
          <t>Tier 1 - C-Suite/Founder</t>
        </is>
      </c>
      <c r="Q132" t="inlineStr">
        <is>
          <t>C-Suite/Founder / Sales/Marketing</t>
        </is>
      </c>
      <c r="R132" t="inlineStr"/>
      <c r="S132" s="3" t="inlineStr">
        <is>
          <t>Hi Sagar, your work as Vice President - Exports at Sayaji Industries Limited caught my eye. We build small AI use cases that sit on top of existing ERPs — think measurable margin and working-capital gains within a quarter. Would be glad to connect.</t>
        </is>
      </c>
      <c r="T132" s="3" t="inlineStr">
        <is>
          <t>Appreciate the connect, Sagar. One idea for Sayaji Industries Limited: yield prediction and QC anomaly detection fed by your ERP batch data. It runs alongside your current ERP, so there's no migration risk — just one contained pilot. Happy to share how similar teams structure it.</t>
        </is>
      </c>
      <c r="U132" s="3" t="inlineStr">
        <is>
          <t>Sagar, I'll leave this here rather than keep nudging — if batch-to-batch yield swings and manual quality paperwork ever climbs the priority list at Sayaji Industries Limited, a 15-minute call is all it takes to see if there's a fit. Either way, good luck this quarter.</t>
        </is>
      </c>
      <c r="V132" t="inlineStr">
        <is>
          <t>Sagar, a faster fix for batch-to-batch yield swings</t>
        </is>
      </c>
      <c r="W132" s="3" t="inlineStr">
        <is>
          <t>Hi Sagar,
As Vice President - Exports at Sayaji Industries Limited,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measurable margin and working-capital gains within a quarter.
Open to a 15-minute call to see if there's a fit for Sayaji Industries Limited?
Best,
{{SENDER_NAME}}
{{SENDER_EMAIL}} | Book directly: {{CALENDLY_URL}}
P.S. If this isn't relevant, reply "no thanks" and I won't follow up again.</t>
        </is>
      </c>
      <c r="X132" t="inlineStr">
        <is>
          <t>How teams like Sayaji Industries Limited start with AI on ERP</t>
        </is>
      </c>
      <c r="Y132" s="3" t="inlineStr">
        <is>
          <t>Hi Sagar,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32" t="inlineStr">
        <is>
          <t>Closing the loop, Sagar</t>
        </is>
      </c>
      <c r="AA132" s="3" t="inlineStr">
        <is>
          <t>Hi Sagar,
I'll close the loop here — inbox zero is sacred.
If batch-to-batch yield swings and manual quality paperwork becomes a priority at Sayaji Industries Limited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32" t="inlineStr">
        <is>
          <t>Draft</t>
        </is>
      </c>
      <c r="AC132" t="n">
        <v>0</v>
      </c>
      <c r="AD132" t="inlineStr"/>
      <c r="AE132" t="inlineStr"/>
      <c r="AF132" t="inlineStr"/>
    </row>
    <row r="133">
      <c r="A133" t="inlineStr">
        <is>
          <t>Rohit</t>
        </is>
      </c>
      <c r="B133" t="inlineStr">
        <is>
          <t>Bohra</t>
        </is>
      </c>
      <c r="C133" t="inlineStr">
        <is>
          <t>Vice President (Exports)</t>
        </is>
      </c>
      <c r="D133" t="inlineStr">
        <is>
          <t>SANGAM INDIA LTD, BHILWARA</t>
        </is>
      </c>
      <c r="E133" t="inlineStr">
        <is>
          <t>rohit@sangamgroup.com</t>
        </is>
      </c>
      <c r="F133" t="n">
        <v>1500</v>
      </c>
      <c r="G133" t="inlineStr">
        <is>
          <t>textiles</t>
        </is>
      </c>
      <c r="H133" t="inlineStr">
        <is>
          <t>http://www.linkedin.com/in/rohit-bohra-91131858</t>
        </is>
      </c>
      <c r="I133" t="inlineStr">
        <is>
          <t>https://sangamgroup.com</t>
        </is>
      </c>
      <c r="J133" t="inlineStr"/>
      <c r="K133" t="inlineStr">
        <is>
          <t>Rajasthan</t>
        </is>
      </c>
      <c r="L133" t="inlineStr">
        <is>
          <t>India</t>
        </is>
      </c>
      <c r="M133" t="n">
        <v>315259000</v>
      </c>
      <c r="N133" s="4" t="n">
        <v>81</v>
      </c>
      <c r="O133" s="4" t="inlineStr">
        <is>
          <t>B - Warm</t>
        </is>
      </c>
      <c r="P133" t="inlineStr">
        <is>
          <t>Tier 1 - C-Suite/Founder</t>
        </is>
      </c>
      <c r="Q133" t="inlineStr">
        <is>
          <t>C-Suite/Founder / Sales/Marketing</t>
        </is>
      </c>
      <c r="R133" t="inlineStr"/>
      <c r="S133" s="3" t="inlineStr">
        <is>
          <t>Hi Rohit, your work as Vice President (Exports) at SANGAM INDIA LTD, BHILWARA caught my eye. We build small AI use cases that sit on top of existing ERPs — think measurable margin and working-capital gains within a quarter. Would be glad to connect.</t>
        </is>
      </c>
      <c r="T133" s="3" t="inlineStr">
        <is>
          <t>Glad to be connected, Rohit. Most textiles teams we meet struggle with delivery-date slippage and yarn/greige inventory pile-ups. We fix exactly that with production scheduling and order-to-dispatch tracking layered on your ERP. Open to a 15-minute walkthrough?</t>
        </is>
      </c>
      <c r="U133" s="3" t="inlineStr">
        <is>
          <t>Rohit, closing the loop so I'm not another unread ping. If it's useful, I can send a one-pager on production scheduling and order-to-dispatch tracking layered on your ERP for SANGAM INDIA LTD, BHILWARA — zero meetings needed. Just say the word.</t>
        </is>
      </c>
      <c r="V133" t="inlineStr">
        <is>
          <t>AI on top of SANGAM INDIA LTD, BHILWARA's ERP — one small use case</t>
        </is>
      </c>
      <c r="W133" s="3" t="inlineStr">
        <is>
          <t>Hi Rohit,
As Vice President (Exports) at SANGAM INDIA LTD, BHILWARA,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SANGAM INDIA LTD, BHILWARA?
Best,
{{SENDER_NAME}}
{{SENDER_EMAIL}} | Book directly: {{CALENDLY_URL}}
P.S. If this isn't relevant, reply "no thanks" and I won't follow up again.</t>
        </is>
      </c>
      <c r="X133" t="inlineStr">
        <is>
          <t>Rohit — the 3-week pilot version</t>
        </is>
      </c>
      <c r="Y133" s="3" t="inlineStr">
        <is>
          <t>Hi Rohit,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33" t="inlineStr">
        <is>
          <t>Last note — AI on ERP at SANGAM INDIA LTD, BHILWARA</t>
        </is>
      </c>
      <c r="AA133" s="3" t="inlineStr">
        <is>
          <t>Hi Rohit,
I'll close the loop here — inbox zero is sacred.
If delivery-date slippage and yarn/greige inventory pile-ups becomes a priority at SANGAM INDIA LTD, BHILWARA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33" t="inlineStr">
        <is>
          <t>Draft</t>
        </is>
      </c>
      <c r="AC133" t="n">
        <v>0</v>
      </c>
      <c r="AD133" t="inlineStr"/>
      <c r="AE133" t="inlineStr"/>
      <c r="AF133" t="inlineStr"/>
    </row>
    <row r="134">
      <c r="A134" t="inlineStr">
        <is>
          <t>Tiju</t>
        </is>
      </c>
      <c r="B134" t="inlineStr">
        <is>
          <t>Thomas</t>
        </is>
      </c>
      <c r="C134" t="inlineStr">
        <is>
          <t>Associate Director - Application Architecture , Tata Consumer Products</t>
        </is>
      </c>
      <c r="D134" t="inlineStr">
        <is>
          <t>Tata Consumer Products</t>
        </is>
      </c>
      <c r="E134" t="inlineStr">
        <is>
          <t>tiju.thomas@tataconsumer.com</t>
        </is>
      </c>
      <c r="F134" t="n">
        <v>9100</v>
      </c>
      <c r="G134" t="inlineStr">
        <is>
          <t>food &amp; beverages</t>
        </is>
      </c>
      <c r="H134" t="inlineStr">
        <is>
          <t>http://www.linkedin.com/in/tiju-thomas-b737a621</t>
        </is>
      </c>
      <c r="I134" t="inlineStr">
        <is>
          <t>https://tataconsumer.com</t>
        </is>
      </c>
      <c r="J134" t="inlineStr">
        <is>
          <t>Bengaluru</t>
        </is>
      </c>
      <c r="K134" t="inlineStr">
        <is>
          <t>Karnataka</t>
        </is>
      </c>
      <c r="L134" t="inlineStr">
        <is>
          <t>India</t>
        </is>
      </c>
      <c r="M134" t="n">
        <v>2083650000</v>
      </c>
      <c r="N134" s="4" t="n">
        <v>81</v>
      </c>
      <c r="O134" s="4" t="inlineStr">
        <is>
          <t>B - Warm</t>
        </is>
      </c>
      <c r="P134" t="inlineStr">
        <is>
          <t>Tier 3 - Director/Head</t>
        </is>
      </c>
      <c r="Q134" t="inlineStr">
        <is>
          <t>Director/Head / General management</t>
        </is>
      </c>
      <c r="R134" t="inlineStr"/>
      <c r="S134" s="3" t="inlineStr">
        <is>
          <t>Hi Tiju, I work with food &amp; beverages leaders on adding AI capability without any rip-and-replace of the current ERP — lightweight AI that plugs into the ERP you already run. Given your seat at Tata Consumer Products, thought it was worth connecting.</t>
        </is>
      </c>
      <c r="T134" s="3" t="inlineStr">
        <is>
          <t>Thanks for connecting, Tiju. Quick context: we ship expiry-aware replenishment and wastage prediction wired into your ERP. Teams typically start with one narrow use case and see results in weeks, not an ERP-project timeline. Worth a short look for Tata Consumer Products?</t>
        </is>
      </c>
      <c r="U134" s="3" t="inlineStr">
        <is>
          <t>Tiju, closing the loop so I'm not another unread ping. If it's useful, I can send a one-pager on expiry-aware replenishment and wastage prediction wired into your ERP for Tata Consumer Products — zero meetings needed. Just say the word.</t>
        </is>
      </c>
      <c r="V134" t="inlineStr">
        <is>
          <t>Near-expiry write-offs at Tata Consumer Products?</t>
        </is>
      </c>
      <c r="W134" s="3" t="inlineStr">
        <is>
          <t>Hi Tiju,
As Associate Director - Application Architecture , Tata Consumer Products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34" t="inlineStr">
        <is>
          <t>Re: one small AI use case for Tata Consumer Products</t>
        </is>
      </c>
      <c r="Y134" s="3" t="inlineStr">
        <is>
          <t>Hi Tiju,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34" t="inlineStr">
        <is>
          <t>Should I stay or should I go, Tiju?</t>
        </is>
      </c>
      <c r="AA134" s="3" t="inlineStr">
        <is>
          <t>Hi Tiju,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34" t="inlineStr">
        <is>
          <t>Draft</t>
        </is>
      </c>
      <c r="AC134" t="n">
        <v>0</v>
      </c>
      <c r="AD134" t="inlineStr"/>
      <c r="AE134" t="inlineStr"/>
      <c r="AF134" t="inlineStr"/>
    </row>
    <row r="135">
      <c r="A135" t="inlineStr">
        <is>
          <t>Smitha</t>
        </is>
      </c>
      <c r="B135" t="inlineStr">
        <is>
          <t>Dhanaraj</t>
        </is>
      </c>
      <c r="C135" t="inlineStr">
        <is>
          <t>Director R\&amp;D</t>
        </is>
      </c>
      <c r="D135" t="inlineStr">
        <is>
          <t>Tata Consumer Products</t>
        </is>
      </c>
      <c r="E135" t="inlineStr">
        <is>
          <t>smitha.dhanaraj@tataconsumer.com</t>
        </is>
      </c>
      <c r="F135" t="n">
        <v>9100</v>
      </c>
      <c r="G135" t="inlineStr">
        <is>
          <t>food &amp; beverages</t>
        </is>
      </c>
      <c r="H135" t="inlineStr">
        <is>
          <t>http://www.linkedin.com/in/smitha-dhanaraj-85097a17a</t>
        </is>
      </c>
      <c r="I135" t="inlineStr">
        <is>
          <t>https://tataconsumer.com</t>
        </is>
      </c>
      <c r="J135" t="inlineStr">
        <is>
          <t>Mumbai</t>
        </is>
      </c>
      <c r="K135" t="inlineStr">
        <is>
          <t>Maharashtra</t>
        </is>
      </c>
      <c r="L135" t="inlineStr">
        <is>
          <t>India</t>
        </is>
      </c>
      <c r="M135" t="n">
        <v>2083650000</v>
      </c>
      <c r="N135" s="4" t="n">
        <v>81</v>
      </c>
      <c r="O135" s="4" t="inlineStr">
        <is>
          <t>B - Warm</t>
        </is>
      </c>
      <c r="P135" t="inlineStr">
        <is>
          <t>Tier 3 - Director/Head</t>
        </is>
      </c>
      <c r="Q135" t="inlineStr">
        <is>
          <t>Director/Head / General management</t>
        </is>
      </c>
      <c r="R135" t="inlineStr"/>
      <c r="S135" s="3" t="inlineStr">
        <is>
          <t>Hi Smitha, your work as Director R\&amp;D at Tata Consumer Products caught my eye. We build small AI use cases that sit on top of existing ERPs — think adding AI capability without any rip-and-replace of the current ERP. Would be glad to connect.</t>
        </is>
      </c>
      <c r="T135" s="3" t="inlineStr">
        <is>
          <t>Appreciate the connect, Smitha. One idea for Tata Consumer Products: expiry-aware replenishment and wastage prediction wired into your ERP. It runs alongside your current ERP, so there's no migration risk — just one contained pilot. Happy to share how similar teams structure it.</t>
        </is>
      </c>
      <c r="U135" s="3" t="inlineStr">
        <is>
          <t>Smitha, closing the loop so I'm not another unread ping. If it's useful, I can send a one-pager on expiry-aware replenishment and wastage prediction wired into your ERP for Tata Consumer Products — zero meetings needed. Just say the word.</t>
        </is>
      </c>
      <c r="V135" t="inlineStr">
        <is>
          <t>Near-expiry write-offs at Tata Consumer Products?</t>
        </is>
      </c>
      <c r="W135" s="3" t="inlineStr">
        <is>
          <t>Hi Smitha,
As Director R\&amp;D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35" t="inlineStr">
        <is>
          <t>How teams like Tata Consumer Products start with AI on ERP</t>
        </is>
      </c>
      <c r="Y135" s="3" t="inlineStr">
        <is>
          <t>Hi Smitha,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35" t="inlineStr">
        <is>
          <t>Should I stay or should I go, Smitha?</t>
        </is>
      </c>
      <c r="AA135" s="3" t="inlineStr">
        <is>
          <t>Hi Smitha,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35" t="inlineStr">
        <is>
          <t>Draft</t>
        </is>
      </c>
      <c r="AC135" t="n">
        <v>0</v>
      </c>
      <c r="AD135" t="inlineStr"/>
      <c r="AE135" t="inlineStr"/>
      <c r="AF135" t="inlineStr"/>
    </row>
    <row r="136">
      <c r="A136" t="inlineStr">
        <is>
          <t>Deepshikha</t>
        </is>
      </c>
      <c r="B136" t="inlineStr">
        <is>
          <t>Thakur</t>
        </is>
      </c>
      <c r="C136" t="inlineStr">
        <is>
          <t>Chief People Officer</t>
        </is>
      </c>
      <c r="D136" t="inlineStr">
        <is>
          <t>Bikaji Foods International Ltd. - India</t>
        </is>
      </c>
      <c r="E136" t="inlineStr">
        <is>
          <t>deepshikha@bikaji.com</t>
        </is>
      </c>
      <c r="F136" t="n">
        <v>890</v>
      </c>
      <c r="G136" t="inlineStr">
        <is>
          <t>food &amp; beverages</t>
        </is>
      </c>
      <c r="H136" t="inlineStr">
        <is>
          <t>http://www.linkedin.com/in/deepshikhathakur</t>
        </is>
      </c>
      <c r="I136" t="inlineStr">
        <is>
          <t>https://bikaji.com</t>
        </is>
      </c>
      <c r="J136" t="inlineStr">
        <is>
          <t>Gurgaon</t>
        </is>
      </c>
      <c r="K136" t="inlineStr">
        <is>
          <t>Haryana</t>
        </is>
      </c>
      <c r="L136" t="inlineStr">
        <is>
          <t>India</t>
        </is>
      </c>
      <c r="M136" t="n">
        <v>287290000</v>
      </c>
      <c r="N136" s="4" t="n">
        <v>81</v>
      </c>
      <c r="O136" s="4" t="inlineStr">
        <is>
          <t>B - Warm</t>
        </is>
      </c>
      <c r="P136" t="inlineStr">
        <is>
          <t>Tier 2 - VP</t>
        </is>
      </c>
      <c r="Q136" t="inlineStr">
        <is>
          <t>VP / General</t>
        </is>
      </c>
      <c r="R136" t="inlineStr"/>
      <c r="S136" s="3" t="inlineStr">
        <is>
          <t>Hi Deepshikha, I work with food &amp; beverages leaders on measurable margin and working-capital gains within a quarter — lightweight AI that plugs into the ERP you already run. Given your seat at Bikaji Foods International Ltd. - India, thought it was worth connecting.</t>
        </is>
      </c>
      <c r="T136" s="3" t="inlineStr">
        <is>
          <t>Glad to be connected, Deepshikha. Most food &amp; beverages teams we meet struggle with near-expiry write-offs and distributor claim reconciliation. We fix exactly that with expiry-aware replenishment and wastage prediction wired into your ERP. Open to a 15-minute walkthrough?</t>
        </is>
      </c>
      <c r="U136" s="3" t="inlineStr">
        <is>
          <t>Deepshikha, I'll leave this here rather than keep nudging — if near-expiry write-offs and distributor claim reconciliation ever climbs the priority list at Bikaji Foods International Ltd. - India, a 15-minute call is all it takes to see if there's a fit. Either way, good luck this quarter.</t>
        </is>
      </c>
      <c r="V136" t="inlineStr">
        <is>
          <t>Deepshikha, a faster fix for near-expiry write-offs</t>
        </is>
      </c>
      <c r="W136" s="3" t="inlineStr">
        <is>
          <t>Hi Deepshikha,
As Chief People Officer at Bikaji Foods International Ltd. - India,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Bikaji Foods International Ltd. - India?
Best,
{{SENDER_NAME}}
{{SENDER_EMAIL}} | Book directly: {{CALENDLY_URL}}
P.S. If this isn't relevant, reply "no thanks" and I won't follow up again.</t>
        </is>
      </c>
      <c r="X136" t="inlineStr">
        <is>
          <t>Re: one small AI use case for Bikaji Foods International Ltd. - India</t>
        </is>
      </c>
      <c r="Y136" s="3" t="inlineStr">
        <is>
          <t>Hi Deepshikha,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36" t="inlineStr">
        <is>
          <t>Closing the loop, Deepshikha</t>
        </is>
      </c>
      <c r="AA136" s="3" t="inlineStr">
        <is>
          <t>Hi Deepshikha,
I'll close the loop here — inbox zero is sacred.
If near-expiry write-offs and distributor claim reconciliation becomes a priority at Bikaji Foods International Ltd. - India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36" t="inlineStr">
        <is>
          <t>Draft</t>
        </is>
      </c>
      <c r="AC136" t="n">
        <v>0</v>
      </c>
      <c r="AD136" t="inlineStr"/>
      <c r="AE136" t="inlineStr"/>
      <c r="AF136" t="inlineStr"/>
    </row>
    <row r="137">
      <c r="A137" t="inlineStr">
        <is>
          <t>Neha</t>
        </is>
      </c>
      <c r="B137" t="inlineStr">
        <is>
          <t>Sharma</t>
        </is>
      </c>
      <c r="C137" t="inlineStr">
        <is>
          <t>R\&amp;D Director RTD</t>
        </is>
      </c>
      <c r="D137" t="inlineStr">
        <is>
          <t>Tata Consumer Products</t>
        </is>
      </c>
      <c r="E137" t="inlineStr">
        <is>
          <t>neha.sharma@tataconsumer.com</t>
        </is>
      </c>
      <c r="F137" t="n">
        <v>9100</v>
      </c>
      <c r="G137" t="inlineStr">
        <is>
          <t>food &amp; beverages</t>
        </is>
      </c>
      <c r="H137" t="inlineStr">
        <is>
          <t>http://www.linkedin.com/in/neha-sharma-6bbaab9</t>
        </is>
      </c>
      <c r="I137" t="inlineStr">
        <is>
          <t>https://tataconsumer.com</t>
        </is>
      </c>
      <c r="J137" t="inlineStr">
        <is>
          <t>Bengaluru</t>
        </is>
      </c>
      <c r="K137" t="inlineStr">
        <is>
          <t>Karnataka</t>
        </is>
      </c>
      <c r="L137" t="inlineStr">
        <is>
          <t>India</t>
        </is>
      </c>
      <c r="M137" t="n">
        <v>2083650000</v>
      </c>
      <c r="N137" s="4" t="n">
        <v>81</v>
      </c>
      <c r="O137" s="4" t="inlineStr">
        <is>
          <t>B - Warm</t>
        </is>
      </c>
      <c r="P137" t="inlineStr">
        <is>
          <t>Tier 3 - Director/Head</t>
        </is>
      </c>
      <c r="Q137" t="inlineStr">
        <is>
          <t>Director/Head / General management</t>
        </is>
      </c>
      <c r="R137" t="inlineStr"/>
      <c r="S137" s="3" t="inlineStr">
        <is>
          <t>Hi Neha, I work with food &amp; beverages leaders on adding AI capability without any rip-and-replace of the current ERP — lightweight AI that plugs into the ERP you already run. Given your seat at Tata Consumer Products, thought it was worth connecting.</t>
        </is>
      </c>
      <c r="T137" s="3" t="inlineStr">
        <is>
          <t>Glad to be connected, Neha. Most food &amp; beverages teams we meet struggle with near-expiry write-offs and distributor claim reconciliation. We fix exactly that with expiry-aware replenishment and wastage prediction wired into your ERP. Open to a 15-minute walkthrough?</t>
        </is>
      </c>
      <c r="U137" s="3" t="inlineStr">
        <is>
          <t>Neha, I'll leave this here rather than keep nudging — if near-expiry write-offs and distributor claim reconciliation ever climbs the priority list at Tata Consumer Products, a 15-minute call is all it takes to see if there's a fit. Either way, good luck this quarter.</t>
        </is>
      </c>
      <c r="V137" t="inlineStr">
        <is>
          <t>AI on top of Tata Consumer Products's ERP — one small use case</t>
        </is>
      </c>
      <c r="W137" s="3" t="inlineStr">
        <is>
          <t>Hi Neha,
As R\&amp;D Director RTD at Tata Consumer Products,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Tata Consumer Products?
Best,
{{SENDER_NAME}}
{{SENDER_EMAIL}} | Book directly: {{CALENDLY_URL}}
P.S. If this isn't relevant, reply "no thanks" and I won't follow up again.</t>
        </is>
      </c>
      <c r="X137" t="inlineStr">
        <is>
          <t>How teams like Tata Consumer Products start with AI on ERP</t>
        </is>
      </c>
      <c r="Y137" s="3" t="inlineStr">
        <is>
          <t>Hi Neha,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37" t="inlineStr">
        <is>
          <t>Should I stay or should I go, Neha?</t>
        </is>
      </c>
      <c r="AA137" s="3" t="inlineStr">
        <is>
          <t>Hi Neha,
I'll close the loop here — inbox zero is sacred.
If near-expiry write-offs and distributor claim reconciliation becomes a priority at Tata Consumer Products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37" t="inlineStr">
        <is>
          <t>Draft</t>
        </is>
      </c>
      <c r="AC137" t="n">
        <v>0</v>
      </c>
      <c r="AD137" t="inlineStr"/>
      <c r="AE137" t="inlineStr"/>
      <c r="AF137" t="inlineStr"/>
    </row>
    <row r="138">
      <c r="A138" t="inlineStr">
        <is>
          <t>Khurana</t>
        </is>
      </c>
      <c r="B138" t="inlineStr">
        <is>
          <t>Sharad</t>
        </is>
      </c>
      <c r="C138" t="inlineStr">
        <is>
          <t>Chief Strategy Officer (CSO)</t>
        </is>
      </c>
      <c r="D138" t="inlineStr">
        <is>
          <t>NUZIVEEDU SEEDS LIMITED</t>
        </is>
      </c>
      <c r="E138" t="inlineStr">
        <is>
          <t>sharad.khurana@nuziveeduseeds.com</t>
        </is>
      </c>
      <c r="F138" t="n">
        <v>1600</v>
      </c>
      <c r="G138" t="inlineStr">
        <is>
          <t>farming</t>
        </is>
      </c>
      <c r="H138" t="inlineStr">
        <is>
          <t>http://www.linkedin.com/in/khurana-sharad-0ab8323</t>
        </is>
      </c>
      <c r="I138" t="inlineStr">
        <is>
          <t>https://nuziveeduseeds.com</t>
        </is>
      </c>
      <c r="J138" t="inlineStr">
        <is>
          <t>Hyderabad</t>
        </is>
      </c>
      <c r="K138" t="inlineStr">
        <is>
          <t>Telangana</t>
        </is>
      </c>
      <c r="L138" t="inlineStr">
        <is>
          <t>India</t>
        </is>
      </c>
      <c r="M138" t="n">
        <v>1312000000</v>
      </c>
      <c r="N138" s="4" t="n">
        <v>81</v>
      </c>
      <c r="O138" s="4" t="inlineStr">
        <is>
          <t>B - Warm</t>
        </is>
      </c>
      <c r="P138" t="inlineStr">
        <is>
          <t>Tier 2 - VP</t>
        </is>
      </c>
      <c r="Q138" t="inlineStr">
        <is>
          <t>VP / Ops/Tech/Finance/Commercial</t>
        </is>
      </c>
      <c r="R138" t="inlineStr"/>
      <c r="S138" s="3" t="inlineStr">
        <is>
          <t>Hi Khurana, we help teams like NUZIVEEDU SEEDS LIMITED's tackle volatile procurement prices and manual arrival planning with AI add-ons to their existing ERP — no replatforming. Keen to connect and swap notes.</t>
        </is>
      </c>
      <c r="T138" s="3" t="inlineStr">
        <is>
          <t>Thanks for connecting, Khurana. Quick context: we ship procurement price forecasting and supply planning connected to your ERP. Teams typically start with one narrow use case and see results in weeks, not an ERP-project timeline. Worth a short look for NUZIVEEDU SEEDS LIMITED?</t>
        </is>
      </c>
      <c r="U138" s="3" t="inlineStr">
        <is>
          <t>Khurana, I'll leave this here rather than keep nudging — if volatile procurement prices and manual arrival planning ever climbs the priority list at NUZIVEEDU SEEDS LIMITED, a 15-minute call is all it takes to see if there's a fit. Either way, good luck this quarter.</t>
        </is>
      </c>
      <c r="V138" t="inlineStr">
        <is>
          <t>Volatile procurement prices at NUZIVEEDU SEEDS LIMITED?</t>
        </is>
      </c>
      <c r="W138" s="3" t="inlineStr">
        <is>
          <t>Hi Khurana,
As Chief Strategy Officer (CSO) at NUZIVEEDU SEEDS LIMITED,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NUZIVEEDU SEEDS LIMITED?
Best,
{{SENDER_NAME}}
{{SENDER_EMAIL}} | Book directly: {{CALENDLY_URL}}
P.S. If this isn't relevant, reply "no thanks" and I won't follow up again.</t>
        </is>
      </c>
      <c r="X138" t="inlineStr">
        <is>
          <t>Re: one small AI use case for NUZIVEEDU SEEDS LIMITED</t>
        </is>
      </c>
      <c r="Y138" s="3" t="inlineStr">
        <is>
          <t>Hi Khurana,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138" t="inlineStr">
        <is>
          <t>Last note — AI on ERP at NUZIVEEDU SEEDS LIMITED</t>
        </is>
      </c>
      <c r="AA138" s="3" t="inlineStr">
        <is>
          <t>Hi Khurana,
I'll close the loop here — inbox zero is sacred.
If volatile procurement prices and manual arrival planning becomes a priority at NUZIVEEDU SEEDS LIMITED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138" t="inlineStr">
        <is>
          <t>Draft</t>
        </is>
      </c>
      <c r="AC138" t="n">
        <v>0</v>
      </c>
      <c r="AD138" t="inlineStr"/>
      <c r="AE138" t="inlineStr"/>
      <c r="AF138" t="inlineStr"/>
    </row>
    <row r="139">
      <c r="A139" t="inlineStr">
        <is>
          <t>Prashant</t>
        </is>
      </c>
      <c r="B139" t="inlineStr">
        <is>
          <t>Deshpande</t>
        </is>
      </c>
      <c r="C139" t="inlineStr">
        <is>
          <t>Senior Vice President - HR Strategy &amp; Planning (Special Projects)</t>
        </is>
      </c>
      <c r="D139" t="inlineStr">
        <is>
          <t>Reliance Retail</t>
        </is>
      </c>
      <c r="E139" t="inlineStr">
        <is>
          <t>prashant.deshpande@ril.com</t>
        </is>
      </c>
      <c r="F139" t="n">
        <v>246000</v>
      </c>
      <c r="G139" t="inlineStr">
        <is>
          <t>retail</t>
        </is>
      </c>
      <c r="H139" t="inlineStr">
        <is>
          <t>http://www.linkedin.com/in/prashant-deshpande-4655591</t>
        </is>
      </c>
      <c r="I139" t="inlineStr">
        <is>
          <t>https://relianceretail.com</t>
        </is>
      </c>
      <c r="J139" t="inlineStr"/>
      <c r="K139" t="inlineStr"/>
      <c r="L139" t="inlineStr">
        <is>
          <t>India</t>
        </is>
      </c>
      <c r="M139" t="n">
        <v>3864000000</v>
      </c>
      <c r="N139" s="4" t="n">
        <v>81</v>
      </c>
      <c r="O139" s="4" t="inlineStr">
        <is>
          <t>B - Warm</t>
        </is>
      </c>
      <c r="P139" t="inlineStr">
        <is>
          <t>Tier 1 - C-Suite/Founder</t>
        </is>
      </c>
      <c r="Q139" t="inlineStr">
        <is>
          <t>C-Suite/Founder / Support function</t>
        </is>
      </c>
      <c r="R139" t="inlineStr"/>
      <c r="S139" s="3" t="inlineStr">
        <is>
          <t>Hi Prashant, your work as Senior Vice President - HR Strategy &amp; Planning (Special Projects) at Reliance Retail caught my eye. We build small AI use cases that sit on top of existing ERPs — think fewer stockouts and far less manual reconciliation. Would be glad to connect.</t>
        </is>
      </c>
      <c r="T139" s="3" t="inlineStr">
        <is>
          <t>Glad to be connected, Prashant. Most retail teams we meet struggle with stockouts and excess inventory that the ERP reports only after the fact. We fix exactly that with SKU-level demand forecasting and auto-replenishment on top of your ERP. Open to a 15-minute walkthrough?</t>
        </is>
      </c>
      <c r="U139" s="3" t="inlineStr">
        <is>
          <t>Last note from me, Prashant — timing is everything with these projects. If an AI-on-ERP pilot becomes relevant at Reliance Retail later, my line's open. Wishing you a strong quarter.</t>
        </is>
      </c>
      <c r="V139" t="inlineStr">
        <is>
          <t>Prashant, a faster fix for stockouts</t>
        </is>
      </c>
      <c r="W139" s="3" t="inlineStr">
        <is>
          <t>Hi Prashant,
As Senior Vice President - HR Strategy &amp; Planning (Special Projects)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fewer stockouts and far less manual reconciliation.
Open to a 15-minute call to see if there's a fit for Reliance Retail?
Best,
{{SENDER_NAME}}
{{SENDER_EMAIL}} | Book directly: {{CALENDLY_URL}}
P.S. If this isn't relevant, reply "no thanks" and I won't follow up again.</t>
        </is>
      </c>
      <c r="X139" t="inlineStr">
        <is>
          <t>Prashant — the 3-week pilot version</t>
        </is>
      </c>
      <c r="Y139" s="3" t="inlineStr">
        <is>
          <t>Hi Prashant,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39" t="inlineStr">
        <is>
          <t>Last note — AI on ERP at Reliance Retail</t>
        </is>
      </c>
      <c r="AA139" s="3" t="inlineStr">
        <is>
          <t>Hi Prashant,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39" t="inlineStr">
        <is>
          <t>Draft</t>
        </is>
      </c>
      <c r="AC139" t="n">
        <v>0</v>
      </c>
      <c r="AD139" t="inlineStr"/>
      <c r="AE139" t="inlineStr"/>
      <c r="AF139" t="inlineStr"/>
    </row>
    <row r="140">
      <c r="A140" t="inlineStr">
        <is>
          <t>Aayushi</t>
        </is>
      </c>
      <c r="B140" t="inlineStr">
        <is>
          <t>Kishore</t>
        </is>
      </c>
      <c r="C140" t="inlineStr">
        <is>
          <t>Co-Founder</t>
        </is>
      </c>
      <c r="D140" t="inlineStr">
        <is>
          <t>Fireboltt</t>
        </is>
      </c>
      <c r="E140" t="inlineStr">
        <is>
          <t>aayushi@boltt.com</t>
        </is>
      </c>
      <c r="F140" t="n">
        <v>110</v>
      </c>
      <c r="G140" t="inlineStr">
        <is>
          <t>electrical/electronic manufacturing</t>
        </is>
      </c>
      <c r="H140" t="inlineStr">
        <is>
          <t>http://www.linkedin.com/in/aayushikishore</t>
        </is>
      </c>
      <c r="I140" t="inlineStr">
        <is>
          <t>https://fireboltt.com</t>
        </is>
      </c>
      <c r="J140" t="inlineStr">
        <is>
          <t>New Delhi</t>
        </is>
      </c>
      <c r="K140" t="inlineStr">
        <is>
          <t>Delhi</t>
        </is>
      </c>
      <c r="L140" t="inlineStr">
        <is>
          <t>India</t>
        </is>
      </c>
      <c r="M140" t="n">
        <v>60000000</v>
      </c>
      <c r="N140" s="4" t="n">
        <v>80</v>
      </c>
      <c r="O140" s="4" t="inlineStr">
        <is>
          <t>B - Warm</t>
        </is>
      </c>
      <c r="P140" t="inlineStr">
        <is>
          <t>Tier 1 - C-Suite/Founder</t>
        </is>
      </c>
      <c r="Q140" t="inlineStr">
        <is>
          <t>C-Suite/Founder / General management</t>
        </is>
      </c>
      <c r="R140" t="inlineStr"/>
      <c r="S140" s="3" t="inlineStr">
        <is>
          <t>Hi Aayushi, I work with electrical/electronic manufacturing leaders on measurable margin and working-capital gains within a quarter — lightweight AI that plugs into the ERP you already run. Given your seat at Fireboltt, thought it was worth connecting.</t>
        </is>
      </c>
      <c r="T140" s="3" t="inlineStr">
        <is>
          <t>Appreciate the connect, Aayushi. One idea for Fireboltt: AI add-ons for your ERP — invoice matching, PO automation, demand forecasting. It runs alongside your current ERP, so there's no migration risk — just one contained pilot. Happy to share how similar teams structure it.</t>
        </is>
      </c>
      <c r="U140" s="3" t="inlineStr">
        <is>
          <t>Aayushi, I'll leave this here rather than keep nudging — if manual reconciliation work your ERP wasn't built to remove ever climbs the priority list at Fireboltt, a 15-minute call is all it takes to see if there's a fit. Either way, good luck this quarter.</t>
        </is>
      </c>
      <c r="V140" t="inlineStr">
        <is>
          <t>Aayushi, a faster fix for manual reconciliation work your ERP wasn't built to remove</t>
        </is>
      </c>
      <c r="W140" s="3" t="inlineStr">
        <is>
          <t>Hi Aayushi,
As Co-Founder at Fireboltt, you likely see manual reconciliation work your ERP wasn't built to remove more closely than anyone.
We build AI solutions that plug into your existing ERP for small, high-impact use cases across retail ecosystems — starting with AI add-ons for your ERP — invoice matching, PO automation, demand forecasting. No rip-and-replace: it reads
from and writes back to the ERP you already run, and one contained use case is
usually live in weeks.
For someone in your seat, the payoff is measurable margin and working-capital gains within a quarter.
Open to a 15-minute call to see if there's a fit for Fireboltt?
Best,
{{SENDER_NAME}}
{{SENDER_EMAIL}} | Book directly: {{CALENDLY_URL}}
P.S. If this isn't relevant, reply "no thanks" and I won't follow up again.</t>
        </is>
      </c>
      <c r="X140" t="inlineStr">
        <is>
          <t>Aayushi — the 3-week pilot version</t>
        </is>
      </c>
      <c r="Y140" s="3" t="inlineStr">
        <is>
          <t>Hi Aayushi,
Following up on my last note. The pattern that works in electrical/electronic manufacturing:
pick one painful, well-bounded problem — for most teams that's manual reconciliation work your ERP wasn't built to remove — and put a
narrow AI layer on the ERP data you already have.
What that looks like in practice:
- Week 1: connect read-only to the ERP, baseline the problem with your data
- Week 2-3: pilot AI add-ons for your ERP — invoice matching, PO automation, demand forecasting
- Then: keep it only if the numbers justify it
No new platform, no long IT project. Would a 15-minute walkthrough this week or
next work? {{CALENDLY_URL}}
Best,
{{SENDER_NAME}}</t>
        </is>
      </c>
      <c r="Z140" t="inlineStr">
        <is>
          <t>Closing the loop, Aayushi</t>
        </is>
      </c>
      <c r="AA140" s="3" t="inlineStr">
        <is>
          <t>Hi Aayushi,
I'll close the loop here — inbox zero is sacred.
If manual reconciliation work your ERP wasn't built to remove becomes a priority at Fireboltt this year, we're a 15-minute
conversation away: {{CALENDLY_URL}}. If it's easier, I can also send a
one-page overview of AI add-ons for your ERP — invoice matching, PO automation, demand forecasting that you can forward internally — just reply
"send it".
Either way, thanks for reading, and good luck this quarter.
Best,
{{SENDER_NAME}}
(Reply "unsubscribe" and you won't hear from me again.)</t>
        </is>
      </c>
      <c r="AB140" t="inlineStr">
        <is>
          <t>Draft</t>
        </is>
      </c>
      <c r="AC140" t="n">
        <v>0</v>
      </c>
      <c r="AD140" t="inlineStr"/>
      <c r="AE140" t="inlineStr"/>
      <c r="AF140" t="inlineStr"/>
    </row>
    <row r="141">
      <c r="A141" t="inlineStr">
        <is>
          <t>Neel</t>
        </is>
      </c>
      <c r="B141" t="inlineStr">
        <is>
          <t>Kotak</t>
        </is>
      </c>
      <c r="C141" t="inlineStr">
        <is>
          <t>Chief Executive Officer</t>
        </is>
      </c>
      <c r="D141" t="inlineStr">
        <is>
          <t>Iscon Balaji Foods</t>
        </is>
      </c>
      <c r="E141" t="inlineStr">
        <is>
          <t>neel@isconbalajifoods.com</t>
        </is>
      </c>
      <c r="F141" t="n">
        <v>820</v>
      </c>
      <c r="G141" t="inlineStr">
        <is>
          <t>food production</t>
        </is>
      </c>
      <c r="H141" t="inlineStr">
        <is>
          <t>http://www.linkedin.com/in/neel-kotak-5a281a13</t>
        </is>
      </c>
      <c r="I141" t="inlineStr">
        <is>
          <t>https://isconbalajifoods.com</t>
        </is>
      </c>
      <c r="J141" t="inlineStr">
        <is>
          <t>Ahmedabad</t>
        </is>
      </c>
      <c r="K141" t="inlineStr">
        <is>
          <t>Gujarat</t>
        </is>
      </c>
      <c r="L141" t="inlineStr">
        <is>
          <t>India</t>
        </is>
      </c>
      <c r="M141" t="n">
        <v>30000000</v>
      </c>
      <c r="N141" s="4" t="n">
        <v>80</v>
      </c>
      <c r="O141" s="4" t="inlineStr">
        <is>
          <t>B - Warm</t>
        </is>
      </c>
      <c r="P141" t="inlineStr">
        <is>
          <t>Tier 1 - C-Suite/Founder</t>
        </is>
      </c>
      <c r="Q141" t="inlineStr">
        <is>
          <t>C-Suite/Founder / General</t>
        </is>
      </c>
      <c r="R141" t="inlineStr"/>
      <c r="S141" s="3" t="inlineStr">
        <is>
          <t>Hi Neel, I work with food production leaders on measurable margin and working-capital gains within a quarter — lightweight AI that plugs into the ERP you already run. Given your seat at Iscon Balaji Foods, thought it was worth connecting.</t>
        </is>
      </c>
      <c r="T141" s="3" t="inlineStr">
        <is>
          <t>Glad to be connected, Neel. Most food production teams we meet struggle with batch-to-batch yield swings and manual quality paperwork. We fix exactly that with yield prediction and QC anomaly detection fed by your ERP batch data. Open to a 15-minute walkthrough?</t>
        </is>
      </c>
      <c r="U141" s="3" t="inlineStr">
        <is>
          <t>Neel, I'll leave this here rather than keep nudging — if batch-to-batch yield swings and manual quality paperwork ever climbs the priority list at Iscon Balaji Foods, a 15-minute call is all it takes to see if there's a fit. Either way, good luck this quarter.</t>
        </is>
      </c>
      <c r="V141" t="inlineStr">
        <is>
          <t>AI on top of Iscon Balaji Foods's ERP — one small use case</t>
        </is>
      </c>
      <c r="W141" s="3" t="inlineStr">
        <is>
          <t>Hi Neel,
As Chief Executive Officer at Iscon Balaji Foods,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measurable margin and working-capital gains within a quarter.
Open to a 15-minute call to see if there's a fit for Iscon Balaji Foods?
Best,
{{SENDER_NAME}}
{{SENDER_EMAIL}} | Book directly: {{CALENDLY_URL}}
P.S. If this isn't relevant, reply "no thanks" and I won't follow up again.</t>
        </is>
      </c>
      <c r="X141" t="inlineStr">
        <is>
          <t>Re: one small AI use case for Iscon Balaji Foods</t>
        </is>
      </c>
      <c r="Y141" s="3" t="inlineStr">
        <is>
          <t>Hi Neel,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41" t="inlineStr">
        <is>
          <t>Closing the loop, Neel</t>
        </is>
      </c>
      <c r="AA141" s="3" t="inlineStr">
        <is>
          <t>Hi Neel,
I'll close the loop here — inbox zero is sacred.
If batch-to-batch yield swings and manual quality paperwork becomes a priority at Iscon Balaji Foods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41" t="inlineStr">
        <is>
          <t>Draft</t>
        </is>
      </c>
      <c r="AC141" t="n">
        <v>0</v>
      </c>
      <c r="AD141" t="inlineStr"/>
      <c r="AE141" t="inlineStr"/>
      <c r="AF141" t="inlineStr"/>
    </row>
    <row r="142">
      <c r="A142" t="inlineStr">
        <is>
          <t>Harshal</t>
        </is>
      </c>
      <c r="B142" t="inlineStr">
        <is>
          <t>More</t>
        </is>
      </c>
      <c r="C142" t="inlineStr">
        <is>
          <t>Associate Director of Product and Engineering</t>
        </is>
      </c>
      <c r="D142" t="inlineStr">
        <is>
          <t>More Retail Private Limited</t>
        </is>
      </c>
      <c r="E142" t="inlineStr">
        <is>
          <t>harshal.more@moreretail.in</t>
        </is>
      </c>
      <c r="F142" t="n">
        <v>11000</v>
      </c>
      <c r="G142" t="inlineStr">
        <is>
          <t>retail</t>
        </is>
      </c>
      <c r="H142" t="inlineStr">
        <is>
          <t>http://www.linkedin.com/in/harshal-more-a3a135121</t>
        </is>
      </c>
      <c r="I142" t="inlineStr">
        <is>
          <t>https://moreretail.in</t>
        </is>
      </c>
      <c r="J142" t="inlineStr">
        <is>
          <t>Mumbai</t>
        </is>
      </c>
      <c r="K142" t="inlineStr">
        <is>
          <t>Maharashtra</t>
        </is>
      </c>
      <c r="L142" t="inlineStr">
        <is>
          <t>India</t>
        </is>
      </c>
      <c r="M142" t="n">
        <v>54000000</v>
      </c>
      <c r="N142" s="4" t="n">
        <v>80</v>
      </c>
      <c r="O142" s="4" t="inlineStr">
        <is>
          <t>B - Warm</t>
        </is>
      </c>
      <c r="P142" t="inlineStr">
        <is>
          <t>Tier 3 - Director/Head</t>
        </is>
      </c>
      <c r="Q142" t="inlineStr">
        <is>
          <t>Director/Head / General management</t>
        </is>
      </c>
      <c r="R142" t="inlineStr"/>
      <c r="S142" s="3" t="inlineStr">
        <is>
          <t>Hi Harshal, your work as Associate Director of Product and Engineering at More Retail Private Limited caught my eye. We build small AI use cases that sit on top of existing ERPs — think adding AI capability without any rip-and-replace of the current ERP. Would be glad to connect.</t>
        </is>
      </c>
      <c r="T142" s="3" t="inlineStr">
        <is>
          <t>Thanks for connecting, Harshal. Quick context: we ship SKU-level demand forecasting and auto-replenishment on top of your ERP. Teams typically start with one narrow use case and see results in weeks, not an ERP-project timeline. Worth a short look for More Retail Private Limited?</t>
        </is>
      </c>
      <c r="U142" s="3" t="inlineStr">
        <is>
          <t>Harshal, I'll leave this here rather than keep nudging — if stockouts and excess inventory that the ERP reports only after the fact ever climbs the priority list at More Retail Private Limited, a 15-minute call is all it takes to see if there's a fit. Either way, good luck this quarter.</t>
        </is>
      </c>
      <c r="V142" t="inlineStr">
        <is>
          <t>Stockouts at More Retail Private Limited?</t>
        </is>
      </c>
      <c r="W142" s="3" t="inlineStr">
        <is>
          <t>Hi Harshal,
As Associate Director of Product and Engineering at More Retail Private Limited,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More Retail Private Limited?
Best,
{{SENDER_NAME}}
{{SENDER_EMAIL}} | Book directly: {{CALENDLY_URL}}
P.S. If this isn't relevant, reply "no thanks" and I won't follow up again.</t>
        </is>
      </c>
      <c r="X142" t="inlineStr">
        <is>
          <t>How teams like More Retail Private Limited start with AI on ERP</t>
        </is>
      </c>
      <c r="Y142" s="3" t="inlineStr">
        <is>
          <t>Hi Harshal,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42" t="inlineStr">
        <is>
          <t>Should I stay or should I go, Harshal?</t>
        </is>
      </c>
      <c r="AA142" s="3" t="inlineStr">
        <is>
          <t>Hi Harshal,
I'll close the loop here — inbox zero is sacred.
If stockouts and excess inventory that the ERP reports only after the fact becomes a priority at More Retail Private Limited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42" t="inlineStr">
        <is>
          <t>Draft</t>
        </is>
      </c>
      <c r="AC142" t="n">
        <v>0</v>
      </c>
      <c r="AD142" t="inlineStr"/>
      <c r="AE142" t="inlineStr"/>
      <c r="AF142" t="inlineStr"/>
    </row>
    <row r="143">
      <c r="A143" t="inlineStr">
        <is>
          <t>Ashish</t>
        </is>
      </c>
      <c r="B143" t="inlineStr">
        <is>
          <t>Mishra</t>
        </is>
      </c>
      <c r="C143" t="inlineStr">
        <is>
          <t>VP of Engineering</t>
        </is>
      </c>
      <c r="D143" t="inlineStr">
        <is>
          <t>The Souled Store</t>
        </is>
      </c>
      <c r="E143" t="inlineStr">
        <is>
          <t>ashish.mishra@thesouledstore.com</t>
        </is>
      </c>
      <c r="F143" t="n">
        <v>740</v>
      </c>
      <c r="G143" t="inlineStr">
        <is>
          <t>apparel &amp; fashion</t>
        </is>
      </c>
      <c r="H143" t="inlineStr">
        <is>
          <t>http://www.linkedin.com/in/ashishkm</t>
        </is>
      </c>
      <c r="I143" t="inlineStr">
        <is>
          <t>https://thesouledstore.com</t>
        </is>
      </c>
      <c r="J143" t="inlineStr">
        <is>
          <t>Mumbai</t>
        </is>
      </c>
      <c r="K143" t="inlineStr">
        <is>
          <t>Maharashtra</t>
        </is>
      </c>
      <c r="L143" t="inlineStr">
        <is>
          <t>India</t>
        </is>
      </c>
      <c r="M143" t="n">
        <v>42000000</v>
      </c>
      <c r="N143" s="4" t="n">
        <v>79</v>
      </c>
      <c r="O143" s="4" t="inlineStr">
        <is>
          <t>B - Warm</t>
        </is>
      </c>
      <c r="P143" t="inlineStr">
        <is>
          <t>Tier 2 - VP</t>
        </is>
      </c>
      <c r="Q143" t="inlineStr">
        <is>
          <t>VP / General</t>
        </is>
      </c>
      <c r="R143" t="inlineStr"/>
      <c r="S143" s="3" t="inlineStr">
        <is>
          <t>Hi Ashish, we help teams like The Souled Store's tackle broken size sets and end-of-season markdowns with AI add-ons to their existing ERP — no replatforming. Keen to connect and swap notes.</t>
        </is>
      </c>
      <c r="T143" s="3" t="inlineStr">
        <is>
          <t>Appreciate the connect, Ashish. One idea for The Souled Store: size-curve planning and season-buy optimization that reads straight from your ERP. It runs alongside your current ERP, so there's no migration risk — just one contained pilot. Happy to share how similar teams structure it.</t>
        </is>
      </c>
      <c r="U143" s="3" t="inlineStr">
        <is>
          <t>Last note from me, Ashish — timing is everything with these projects. If an AI-on-ERP pilot becomes relevant at The Souled Store later, my line's open. Wishing you a strong quarter.</t>
        </is>
      </c>
      <c r="V143" t="inlineStr">
        <is>
          <t>AI on top of The Souled Store's ERP — one small use case</t>
        </is>
      </c>
      <c r="W143" s="3" t="inlineStr">
        <is>
          <t>Hi Ashish,
As VP of Engineering at The Souled Store,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getting the repetitive ERP grunt work off your team's plate.
Open to a 15-minute call to see if there's a fit for The Souled Store?
Best,
{{SENDER_NAME}}
{{SENDER_EMAIL}} | Book directly: {{CALENDLY_URL}}
P.S. If this isn't relevant, reply "no thanks" and I won't follow up again.</t>
        </is>
      </c>
      <c r="X143" t="inlineStr">
        <is>
          <t>Ashish — the 3-week pilot version</t>
        </is>
      </c>
      <c r="Y143" s="3" t="inlineStr">
        <is>
          <t>Hi Ashish,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143" t="inlineStr">
        <is>
          <t>Last note — AI on ERP at The Souled Store</t>
        </is>
      </c>
      <c r="AA143" s="3" t="inlineStr">
        <is>
          <t>Hi Ashish,
I'll close the loop here — inbox zero is sacred.
If broken size sets and end-of-season markdowns becomes a priority at The Souled Store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143" t="inlineStr">
        <is>
          <t>Draft</t>
        </is>
      </c>
      <c r="AC143" t="n">
        <v>0</v>
      </c>
      <c r="AD143" t="inlineStr"/>
      <c r="AE143" t="inlineStr"/>
      <c r="AF143" t="inlineStr"/>
    </row>
    <row r="144">
      <c r="A144" t="inlineStr">
        <is>
          <t>Dharmendra</t>
        </is>
      </c>
      <c r="B144" t="inlineStr">
        <is>
          <t>Vaishnava</t>
        </is>
      </c>
      <c r="C144" t="inlineStr">
        <is>
          <t>Deputy General Manager- Partner Account Reconciliation (Central Supply Chains)</t>
        </is>
      </c>
      <c r="D144" t="inlineStr">
        <is>
          <t>Reliance Retail</t>
        </is>
      </c>
      <c r="E144" t="inlineStr">
        <is>
          <t>dharmendra.vaishnava@ril.com</t>
        </is>
      </c>
      <c r="F144" t="n">
        <v>246000</v>
      </c>
      <c r="G144" t="inlineStr">
        <is>
          <t>retail</t>
        </is>
      </c>
      <c r="H144" t="inlineStr">
        <is>
          <t>http://www.linkedin.com/in/dharmendra-vaishnava-6b790921</t>
        </is>
      </c>
      <c r="I144" t="inlineStr">
        <is>
          <t>https://relianceretail.com</t>
        </is>
      </c>
      <c r="J144" t="inlineStr">
        <is>
          <t>Mumbai</t>
        </is>
      </c>
      <c r="K144" t="inlineStr">
        <is>
          <t>Maharashtra</t>
        </is>
      </c>
      <c r="L144" t="inlineStr">
        <is>
          <t>India</t>
        </is>
      </c>
      <c r="M144" t="n">
        <v>3864000000</v>
      </c>
      <c r="N144" s="4" t="n">
        <v>78</v>
      </c>
      <c r="O144" s="4" t="inlineStr">
        <is>
          <t>B - Warm</t>
        </is>
      </c>
      <c r="P144" t="inlineStr">
        <is>
          <t>Tier 3 - Director/Head</t>
        </is>
      </c>
      <c r="Q144" t="inlineStr">
        <is>
          <t>Director/Head / Ops/Tech/Finance/Commercial</t>
        </is>
      </c>
      <c r="R144" t="inlineStr"/>
      <c r="S144" s="3" t="inlineStr">
        <is>
          <t>Hi Dharmendra, I work with retail leaders on recovering margin leakage and freeing working capital trapped in inventory — lightweight AI that plugs into the ERP you already run. Given your seat at Reliance Retail, thought it was worth connecting.</t>
        </is>
      </c>
      <c r="T144" s="3" t="inlineStr">
        <is>
          <t>Thanks for connecting, Dharmendra. Quick context: we ship SKU-level demand forecasting and auto-replenishment on top of your ERP. Teams typically start with one narrow use case and see results in weeks, not an ERP-project timeline. Worth a short look for Reliance Retail?</t>
        </is>
      </c>
      <c r="U144" s="3" t="inlineStr">
        <is>
          <t>Dharmendra, I'll leave this here rather than keep nudging — if stockouts and excess inventory that the ERP reports only after the fact ever climbs the priority list at Reliance Retail, a 15-minute call is all it takes to see if there's a fit. Either way, good luck this quarter.</t>
        </is>
      </c>
      <c r="V144" t="inlineStr">
        <is>
          <t>AI on top of Reliance Retail's ERP — one small use case</t>
        </is>
      </c>
      <c r="W144" s="3" t="inlineStr">
        <is>
          <t>Hi Dharmendra,
As Deputy General Manager- Partner Account Reconciliation (Central Supply Chains)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Reliance Retail?
Best,
{{SENDER_NAME}}
{{SENDER_EMAIL}} | Book directly: {{CALENDLY_URL}}
P.S. If this isn't relevant, reply "no thanks" and I won't follow up again.</t>
        </is>
      </c>
      <c r="X144" t="inlineStr">
        <is>
          <t>How teams like Reliance Retail start with AI on ERP</t>
        </is>
      </c>
      <c r="Y144" s="3" t="inlineStr">
        <is>
          <t>Hi Dharmendra,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44" t="inlineStr">
        <is>
          <t>Last note — AI on ERP at Reliance Retail</t>
        </is>
      </c>
      <c r="AA144" s="3" t="inlineStr">
        <is>
          <t>Hi Dharmendra,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44" t="inlineStr">
        <is>
          <t>Draft</t>
        </is>
      </c>
      <c r="AC144" t="n">
        <v>0</v>
      </c>
      <c r="AD144" t="inlineStr"/>
      <c r="AE144" t="inlineStr"/>
      <c r="AF144" t="inlineStr"/>
    </row>
    <row r="145">
      <c r="A145" t="inlineStr">
        <is>
          <t>Hema</t>
        </is>
      </c>
      <c r="B145" t="inlineStr">
        <is>
          <t>Parekh</t>
        </is>
      </c>
      <c r="C145" t="inlineStr">
        <is>
          <t>AVP Operations</t>
        </is>
      </c>
      <c r="D145" t="inlineStr">
        <is>
          <t>Alok Industries Ltd</t>
        </is>
      </c>
      <c r="E145" t="inlineStr">
        <is>
          <t>hema.parekh@alokind.com</t>
        </is>
      </c>
      <c r="F145" t="n">
        <v>23000</v>
      </c>
      <c r="G145" t="inlineStr">
        <is>
          <t>textiles</t>
        </is>
      </c>
      <c r="H145" t="inlineStr">
        <is>
          <t>http://www.linkedin.com/in/hema-parekh-52088740</t>
        </is>
      </c>
      <c r="I145" t="inlineStr">
        <is>
          <t>https://alokind.com</t>
        </is>
      </c>
      <c r="J145" t="inlineStr">
        <is>
          <t>Silvassa</t>
        </is>
      </c>
      <c r="K145" t="inlineStr">
        <is>
          <t>Dadra and Nagar Haveli and Daman and Diu</t>
        </is>
      </c>
      <c r="L145" t="inlineStr">
        <is>
          <t>India</t>
        </is>
      </c>
      <c r="M145" t="n">
        <v>438895000</v>
      </c>
      <c r="N145" s="4" t="n">
        <v>78</v>
      </c>
      <c r="O145" s="4" t="inlineStr">
        <is>
          <t>B - Warm</t>
        </is>
      </c>
      <c r="P145" t="inlineStr">
        <is>
          <t>Tier 2 - VP</t>
        </is>
      </c>
      <c r="Q145" t="inlineStr">
        <is>
          <t>VP / Ops/Tech/Finance/Commercial</t>
        </is>
      </c>
      <c r="R145" t="inlineStr"/>
      <c r="S145" s="3" t="inlineStr">
        <is>
          <t>Hi Hema, I work with textiles leaders on fewer stockouts and far less manual reconciliation — lightweight AI that plugs into the ERP you already run. Given your seat at Alok Industries Ltd, thought it was worth connecting.</t>
        </is>
      </c>
      <c r="T145" s="3" t="inlineStr">
        <is>
          <t>Appreciate the connect, Hema. One idea for Alok Industries Ltd: production scheduling and order-to-dispatch tracking layered on your ERP. It runs alongside your current ERP, so there's no migration risk — just one contained pilot. Happy to share how similar teams structure it.</t>
        </is>
      </c>
      <c r="U145" s="3" t="inlineStr">
        <is>
          <t>Last note from me, Hema — timing is everything with these projects. If an AI-on-ERP pilot becomes relevant at Alok Industries Ltd later, my line's open. Wishing you a strong quarter.</t>
        </is>
      </c>
      <c r="V145" t="inlineStr">
        <is>
          <t>AI on top of Alok Industries Ltd's ERP — one small use case</t>
        </is>
      </c>
      <c r="W145" s="3" t="inlineStr">
        <is>
          <t>Hi Hema,
As AVP Operations at Alok Industries Ltd,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fewer stockouts and far less manual reconciliation.
Open to a 15-minute call to see if there's a fit for Alok Industries Ltd?
Best,
{{SENDER_NAME}}
{{SENDER_EMAIL}} | Book directly: {{CALENDLY_URL}}
P.S. If this isn't relevant, reply "no thanks" and I won't follow up again.</t>
        </is>
      </c>
      <c r="X145" t="inlineStr">
        <is>
          <t>How teams like Alok Industries Ltd start with AI on ERP</t>
        </is>
      </c>
      <c r="Y145" s="3" t="inlineStr">
        <is>
          <t>Hi Hema,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45" t="inlineStr">
        <is>
          <t>Last note — AI on ERP at Alok Industries Ltd</t>
        </is>
      </c>
      <c r="AA145" s="3" t="inlineStr">
        <is>
          <t>Hi Hema,
I'll close the loop here — inbox zero is sacred.
If delivery-date slippage and yarn/greige inventory pile-ups becomes a priority at Alok Industries Ltd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45" t="inlineStr">
        <is>
          <t>Draft</t>
        </is>
      </c>
      <c r="AC145" t="n">
        <v>0</v>
      </c>
      <c r="AD145" t="inlineStr"/>
      <c r="AE145" t="inlineStr"/>
      <c r="AF145" t="inlineStr"/>
    </row>
    <row r="146">
      <c r="A146" t="inlineStr">
        <is>
          <t>Siddharth</t>
        </is>
      </c>
      <c r="B146" t="inlineStr">
        <is>
          <t>Saini</t>
        </is>
      </c>
      <c r="C146" t="inlineStr">
        <is>
          <t>Chief Marketing Officer - Wagh Bakri Tea lounge</t>
        </is>
      </c>
      <c r="D146" t="inlineStr">
        <is>
          <t>Wagh Bakri Tea Group</t>
        </is>
      </c>
      <c r="E146" t="inlineStr">
        <is>
          <t>siddharth.saini@wbtea.com</t>
        </is>
      </c>
      <c r="F146" t="n">
        <v>590</v>
      </c>
      <c r="G146" t="inlineStr">
        <is>
          <t>food &amp; beverages</t>
        </is>
      </c>
      <c r="H146" t="inlineStr">
        <is>
          <t>http://www.linkedin.com/in/siddharth-saini-ba83073a</t>
        </is>
      </c>
      <c r="I146" t="inlineStr">
        <is>
          <t>https://waghbakritea.com</t>
        </is>
      </c>
      <c r="J146" t="inlineStr">
        <is>
          <t>Bengaluru</t>
        </is>
      </c>
      <c r="K146" t="inlineStr">
        <is>
          <t>Karnataka</t>
        </is>
      </c>
      <c r="L146" t="inlineStr">
        <is>
          <t>India</t>
        </is>
      </c>
      <c r="M146" t="n">
        <v>24000000</v>
      </c>
      <c r="N146" s="4" t="n">
        <v>78</v>
      </c>
      <c r="O146" s="4" t="inlineStr">
        <is>
          <t>B - Warm</t>
        </is>
      </c>
      <c r="P146" t="inlineStr">
        <is>
          <t>Tier 2 - VP</t>
        </is>
      </c>
      <c r="Q146" t="inlineStr">
        <is>
          <t>VP / Sales/Marketing</t>
        </is>
      </c>
      <c r="R146" t="inlineStr"/>
      <c r="S146" s="3" t="inlineStr">
        <is>
          <t>Hi Siddharth, I work with food &amp; beverages leaders on measurable margin and working-capital gains within a quarter — lightweight AI that plugs into the ERP you already run. Given your seat at Wagh Bakri Tea Group, thought it was worth connecting.</t>
        </is>
      </c>
      <c r="T146" s="3" t="inlineStr">
        <is>
          <t>Glad to be connected, Siddharth. Most food &amp; beverages teams we meet struggle with near-expiry write-offs and distributor claim reconciliation. We fix exactly that with expiry-aware replenishment and wastage prediction wired into your ERP. Open to a 15-minute walkthrough?</t>
        </is>
      </c>
      <c r="U146" s="3" t="inlineStr">
        <is>
          <t>Siddharth, I'll leave this here rather than keep nudging — if near-expiry write-offs and distributor claim reconciliation ever climbs the priority list at Wagh Bakri Tea Group, a 15-minute call is all it takes to see if there's a fit. Either way, good luck this quarter.</t>
        </is>
      </c>
      <c r="V146" t="inlineStr">
        <is>
          <t>Near-expiry write-offs at Wagh Bakri Tea Group?</t>
        </is>
      </c>
      <c r="W146" s="3" t="inlineStr">
        <is>
          <t>Hi Siddharth,
As Chief Marketing Officer - Wagh Bakri Tea lounge at Wagh Bakri Tea Group,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Wagh Bakri Tea Group?
Best,
{{SENDER_NAME}}
{{SENDER_EMAIL}} | Book directly: {{CALENDLY_URL}}
P.S. If this isn't relevant, reply "no thanks" and I won't follow up again.</t>
        </is>
      </c>
      <c r="X146" t="inlineStr">
        <is>
          <t>How teams like Wagh Bakri Tea Group start with AI on ERP</t>
        </is>
      </c>
      <c r="Y146" s="3" t="inlineStr">
        <is>
          <t>Hi Siddharth,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46" t="inlineStr">
        <is>
          <t>Last note — AI on ERP at Wagh Bakri Tea Group</t>
        </is>
      </c>
      <c r="AA146" s="3" t="inlineStr">
        <is>
          <t>Hi Siddharth,
I'll close the loop here — inbox zero is sacred.
If near-expiry write-offs and distributor claim reconciliation becomes a priority at Wagh Bakri Tea Group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46" t="inlineStr">
        <is>
          <t>Draft</t>
        </is>
      </c>
      <c r="AC146" t="n">
        <v>0</v>
      </c>
      <c r="AD146" t="inlineStr"/>
      <c r="AE146" t="inlineStr"/>
      <c r="AF146" t="inlineStr"/>
    </row>
    <row r="147">
      <c r="A147" t="inlineStr">
        <is>
          <t>Pradeep</t>
        </is>
      </c>
      <c r="B147" t="inlineStr">
        <is>
          <t>Gupta</t>
        </is>
      </c>
      <c r="C147" t="inlineStr">
        <is>
          <t>Chief Safety Officer</t>
        </is>
      </c>
      <c r="D147" t="inlineStr">
        <is>
          <t>Westlife Foodworld Limited</t>
        </is>
      </c>
      <c r="E147" t="inlineStr">
        <is>
          <t>pradeep.gupta@mcdonaldsindia.com</t>
        </is>
      </c>
      <c r="F147" t="n">
        <v>11000</v>
      </c>
      <c r="G147" t="inlineStr">
        <is>
          <t>food &amp; beverages</t>
        </is>
      </c>
      <c r="H147" t="inlineStr">
        <is>
          <t>http://www.linkedin.com/in/pradeep-gupta-9b5470193</t>
        </is>
      </c>
      <c r="I147" t="inlineStr">
        <is>
          <t>https://westlife.co.in</t>
        </is>
      </c>
      <c r="J147" t="inlineStr">
        <is>
          <t>Mumbai</t>
        </is>
      </c>
      <c r="K147" t="inlineStr">
        <is>
          <t>Maharashtra</t>
        </is>
      </c>
      <c r="L147" t="inlineStr">
        <is>
          <t>India</t>
        </is>
      </c>
      <c r="M147" t="n">
        <v>293238000</v>
      </c>
      <c r="N147" s="4" t="n">
        <v>77</v>
      </c>
      <c r="O147" s="4" t="inlineStr">
        <is>
          <t>B - Warm</t>
        </is>
      </c>
      <c r="P147" t="inlineStr">
        <is>
          <t>Tier 2 - VP</t>
        </is>
      </c>
      <c r="Q147" t="inlineStr">
        <is>
          <t>VP / Support function</t>
        </is>
      </c>
      <c r="R147" t="inlineStr"/>
      <c r="S147" s="3" t="inlineStr">
        <is>
          <t>Hi Pradeep, we help teams like Westlife Foodworld Limited's tackle near-expiry write-offs and distributor claim reconciliation with AI add-ons to their existing ERP — no replatforming. Keen to connect and swap notes.</t>
        </is>
      </c>
      <c r="T147" s="3" t="inlineStr">
        <is>
          <t>Thanks for connecting, Pradeep. Quick context: we ship expiry-aware replenishment and wastage prediction wired into your ERP. Teams typically start with one narrow use case and see results in weeks, not an ERP-project timeline. Worth a short look for Westlife Foodworld Limited?</t>
        </is>
      </c>
      <c r="U147" s="3" t="inlineStr">
        <is>
          <t>Pradeep, I'll leave this here rather than keep nudging — if near-expiry write-offs and distributor claim reconciliation ever climbs the priority list at Westlife Foodworld Limited, a 15-minute call is all it takes to see if there's a fit. Either way, good luck this quarter.</t>
        </is>
      </c>
      <c r="V147" t="inlineStr">
        <is>
          <t>Near-expiry write-offs at Westlife Foodworld Limited?</t>
        </is>
      </c>
      <c r="W147" s="3" t="inlineStr">
        <is>
          <t>Hi Pradeep,
As Chief Safety Officer at Westlife Foodworld Limited, you likely see near-expiry write-offs and distributor claim reconciliation more closely than anyone.
We build AI solutions that plug into your existing ERP for small, high-impact use cases across retail ecosystems — starting with expiry-aware replenishment and wastage prediction wired into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Westlife Foodworld Limited?
Best,
{{SENDER_NAME}}
{{SENDER_EMAIL}} | Book directly: {{CALENDLY_URL}}
P.S. If this isn't relevant, reply "no thanks" and I won't follow up again.</t>
        </is>
      </c>
      <c r="X147" t="inlineStr">
        <is>
          <t>Re: one small AI use case for Westlife Foodworld Limited</t>
        </is>
      </c>
      <c r="Y147" s="3" t="inlineStr">
        <is>
          <t>Hi Pradeep,
Following up on my last note. The pattern that works in food &amp; beverages:
pick one painful, well-bounded problem — for most teams that's near-expiry write-offs and distributor claim reconciliation — and put a
narrow AI layer on the ERP data you already have.
What that looks like in practice:
- Week 1: connect read-only to the ERP, baseline the problem with your data
- Week 2-3: pilot expiry-aware replenishment and wastage prediction wired into your ERP
- Then: keep it only if the numbers justify it
No new platform, no long IT project. Would a 15-minute walkthrough this week or
next work? {{CALENDLY_URL}}
Best,
{{SENDER_NAME}}</t>
        </is>
      </c>
      <c r="Z147" t="inlineStr">
        <is>
          <t>Should I stay or should I go, Pradeep?</t>
        </is>
      </c>
      <c r="AA147" s="3" t="inlineStr">
        <is>
          <t>Hi Pradeep,
I'll close the loop here — inbox zero is sacred.
If near-expiry write-offs and distributor claim reconciliation becomes a priority at Westlife Foodworld Limited this year, we're a 15-minute
conversation away: {{CALENDLY_URL}}. If it's easier, I can also send a
one-page overview of expiry-aware replenishment and wastage prediction wired into your ERP that you can forward internally — just reply
"send it".
Either way, thanks for reading, and good luck this quarter.
Best,
{{SENDER_NAME}}
(Reply "unsubscribe" and you won't hear from me again.)</t>
        </is>
      </c>
      <c r="AB147" t="inlineStr">
        <is>
          <t>Draft</t>
        </is>
      </c>
      <c r="AC147" t="n">
        <v>0</v>
      </c>
      <c r="AD147" t="inlineStr"/>
      <c r="AE147" t="inlineStr"/>
      <c r="AF147" t="inlineStr"/>
    </row>
    <row r="148">
      <c r="A148" t="inlineStr">
        <is>
          <t>Karan</t>
        </is>
      </c>
      <c r="B148" t="inlineStr">
        <is>
          <t>Ojha</t>
        </is>
      </c>
      <c r="C148" t="inlineStr">
        <is>
          <t>Chief Marketing Officer</t>
        </is>
      </c>
      <c r="D148" t="inlineStr">
        <is>
          <t>Arvind Limited</t>
        </is>
      </c>
      <c r="E148" t="inlineStr">
        <is>
          <t>karan.ojha@arvind.in</t>
        </is>
      </c>
      <c r="F148" t="n">
        <v>25000</v>
      </c>
      <c r="G148" t="inlineStr">
        <is>
          <t>apparel &amp; fashion</t>
        </is>
      </c>
      <c r="H148" t="inlineStr">
        <is>
          <t>http://www.linkedin.com/in/karan-ojha-6533691b</t>
        </is>
      </c>
      <c r="I148" t="inlineStr">
        <is>
          <t>https://arvind.com</t>
        </is>
      </c>
      <c r="J148" t="inlineStr">
        <is>
          <t>Ahmedabad</t>
        </is>
      </c>
      <c r="K148" t="inlineStr">
        <is>
          <t>Gujarat</t>
        </is>
      </c>
      <c r="L148" t="inlineStr">
        <is>
          <t>India</t>
        </is>
      </c>
      <c r="M148" t="n">
        <v>984809000</v>
      </c>
      <c r="N148" s="4" t="n">
        <v>77</v>
      </c>
      <c r="O148" s="4" t="inlineStr">
        <is>
          <t>B - Warm</t>
        </is>
      </c>
      <c r="P148" t="inlineStr">
        <is>
          <t>Tier 2 - VP</t>
        </is>
      </c>
      <c r="Q148" t="inlineStr">
        <is>
          <t>VP / Sales/Marketing</t>
        </is>
      </c>
      <c r="R148" t="inlineStr"/>
      <c r="S148" s="3" t="inlineStr">
        <is>
          <t>Hi Karan, I work with apparel &amp; fashion leaders on measurable margin and working-capital gains within a quarter — lightweight AI that plugs into the ERP you already run. Given your seat at Arvind Limited, thought it was worth connecting.</t>
        </is>
      </c>
      <c r="T148" s="3" t="inlineStr">
        <is>
          <t>Appreciate the connect, Karan. One idea for Arvind Limited: size-curve planning and season-buy optimization that reads straight from your ERP. It runs alongside your current ERP, so there's no migration risk — just one contained pilot. Happy to share how similar teams structure it.</t>
        </is>
      </c>
      <c r="U148" s="3" t="inlineStr">
        <is>
          <t>Karan, I'll leave this here rather than keep nudging — if broken size sets and end-of-season markdowns ever climbs the priority list at Arvind Limited, a 15-minute call is all it takes to see if there's a fit. Either way, good luck this quarter.</t>
        </is>
      </c>
      <c r="V148" t="inlineStr">
        <is>
          <t>Karan, a faster fix for broken size sets</t>
        </is>
      </c>
      <c r="W148" s="3" t="inlineStr">
        <is>
          <t>Hi Karan,
As Chief Marketing Officer at Arvind Limited,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Arvind Limited?
Best,
{{SENDER_NAME}}
{{SENDER_EMAIL}} | Book directly: {{CALENDLY_URL}}
P.S. If this isn't relevant, reply "no thanks" and I won't follow up again.</t>
        </is>
      </c>
      <c r="X148" t="inlineStr">
        <is>
          <t>How teams like Arvind Limited start with AI on ERP</t>
        </is>
      </c>
      <c r="Y148" s="3" t="inlineStr">
        <is>
          <t>Hi Karan,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148" t="inlineStr">
        <is>
          <t>Last note — AI on ERP at Arvind Limited</t>
        </is>
      </c>
      <c r="AA148" s="3" t="inlineStr">
        <is>
          <t>Hi Karan,
I'll close the loop here — inbox zero is sacred.
If broken size sets and end-of-season markdowns becomes a priority at Arvind Limited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148" t="inlineStr">
        <is>
          <t>Draft</t>
        </is>
      </c>
      <c r="AC148" t="n">
        <v>0</v>
      </c>
      <c r="AD148" t="inlineStr"/>
      <c r="AE148" t="inlineStr"/>
      <c r="AF148" t="inlineStr"/>
    </row>
    <row r="149">
      <c r="A149" t="inlineStr">
        <is>
          <t>Shaikh</t>
        </is>
      </c>
      <c r="B149" t="inlineStr">
        <is>
          <t>Fahad</t>
        </is>
      </c>
      <c r="C149" t="inlineStr">
        <is>
          <t>AVP &amp; State Head Property Acquisition - AP &amp; Telangana</t>
        </is>
      </c>
      <c r="D149" t="inlineStr">
        <is>
          <t>Reliance Retail</t>
        </is>
      </c>
      <c r="E149" t="inlineStr">
        <is>
          <t>shaikh.fahad@ril.com</t>
        </is>
      </c>
      <c r="F149" t="n">
        <v>246000</v>
      </c>
      <c r="G149" t="inlineStr">
        <is>
          <t>retail</t>
        </is>
      </c>
      <c r="H149" t="inlineStr">
        <is>
          <t>http://www.linkedin.com/in/shaikh-fahad-12236185</t>
        </is>
      </c>
      <c r="I149" t="inlineStr">
        <is>
          <t>https://relianceretail.com</t>
        </is>
      </c>
      <c r="J149" t="inlineStr">
        <is>
          <t>Hyderabad</t>
        </is>
      </c>
      <c r="K149" t="inlineStr">
        <is>
          <t>Telangana</t>
        </is>
      </c>
      <c r="L149" t="inlineStr">
        <is>
          <t>India</t>
        </is>
      </c>
      <c r="M149" t="n">
        <v>3864000000</v>
      </c>
      <c r="N149" s="4" t="n">
        <v>75</v>
      </c>
      <c r="O149" s="4" t="inlineStr">
        <is>
          <t>B - Warm</t>
        </is>
      </c>
      <c r="P149" t="inlineStr">
        <is>
          <t>Tier 2 - VP</t>
        </is>
      </c>
      <c r="Q149" t="inlineStr">
        <is>
          <t>VP / General</t>
        </is>
      </c>
      <c r="R149" t="inlineStr"/>
      <c r="S149" s="3" t="inlineStr">
        <is>
          <t>Hi Shaikh, we help teams like Reliance Retail's tackle stockouts and excess inventory that the ERP reports only after the fact with AI add-ons to their existing ERP — no replatforming. Keen to connect and swap notes.</t>
        </is>
      </c>
      <c r="T149" s="3" t="inlineStr">
        <is>
          <t>Glad to be connected, Shaikh. Most retail teams we meet struggle with stockouts and excess inventory that the ERP reports only after the fact. We fix exactly that with SKU-level demand forecasting and auto-replenishment on top of your ERP. Open to a 15-minute walkthrough?</t>
        </is>
      </c>
      <c r="U149" s="3" t="inlineStr">
        <is>
          <t>Shaikh, closing the loop so I'm not another unread ping. If it's useful, I can send a one-pager on SKU-level demand forecasting and auto-replenishment on top of your ERP for Reliance Retail — zero meetings needed. Just say the word.</t>
        </is>
      </c>
      <c r="V149" t="inlineStr">
        <is>
          <t>AI on top of Reliance Retail's ERP — one small use case</t>
        </is>
      </c>
      <c r="W149" s="3" t="inlineStr">
        <is>
          <t>Hi Shaikh,
As AVP &amp; State Head Property Acquisition - AP &amp; Telangana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getting the repetitive ERP grunt work off your team's plate.
Open to a 15-minute call to see if there's a fit for Reliance Retail?
Best,
{{SENDER_NAME}}
{{SENDER_EMAIL}} | Book directly: {{CALENDLY_URL}}
P.S. If this isn't relevant, reply "no thanks" and I won't follow up again.</t>
        </is>
      </c>
      <c r="X149" t="inlineStr">
        <is>
          <t>Shaikh — the 3-week pilot version</t>
        </is>
      </c>
      <c r="Y149" s="3" t="inlineStr">
        <is>
          <t>Hi Shaikh,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49" t="inlineStr">
        <is>
          <t>Last note — AI on ERP at Reliance Retail</t>
        </is>
      </c>
      <c r="AA149" s="3" t="inlineStr">
        <is>
          <t>Hi Shaikh,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49" t="inlineStr">
        <is>
          <t>Draft</t>
        </is>
      </c>
      <c r="AC149" t="n">
        <v>0</v>
      </c>
      <c r="AD149" t="inlineStr"/>
      <c r="AE149" t="inlineStr"/>
      <c r="AF149" t="inlineStr"/>
    </row>
    <row r="150">
      <c r="A150" t="inlineStr">
        <is>
          <t>Nirmit</t>
        </is>
      </c>
      <c r="B150" t="inlineStr">
        <is>
          <t>Bhandari</t>
        </is>
      </c>
      <c r="C150" t="inlineStr">
        <is>
          <t>Director Exports, Food Production</t>
        </is>
      </c>
      <c r="D150" t="inlineStr">
        <is>
          <t>Vasant Masala</t>
        </is>
      </c>
      <c r="E150" t="inlineStr">
        <is>
          <t>nirmit@vasantmasala.com</t>
        </is>
      </c>
      <c r="F150" t="n">
        <v>160</v>
      </c>
      <c r="G150" t="inlineStr">
        <is>
          <t>retail</t>
        </is>
      </c>
      <c r="H150" t="inlineStr">
        <is>
          <t>http://www.linkedin.com/in/nirmit-bhandari-36299b28</t>
        </is>
      </c>
      <c r="I150" t="inlineStr">
        <is>
          <t>https://vasantmasala.com</t>
        </is>
      </c>
      <c r="J150" t="inlineStr">
        <is>
          <t>Ahmedabad</t>
        </is>
      </c>
      <c r="K150" t="inlineStr">
        <is>
          <t>Gujarat</t>
        </is>
      </c>
      <c r="L150" t="inlineStr">
        <is>
          <t>India</t>
        </is>
      </c>
      <c r="M150" t="n">
        <v>53700000</v>
      </c>
      <c r="N150" s="4" t="n">
        <v>75</v>
      </c>
      <c r="O150" s="4" t="inlineStr">
        <is>
          <t>B - Warm</t>
        </is>
      </c>
      <c r="P150" t="inlineStr">
        <is>
          <t>Tier 3 - Director/Head</t>
        </is>
      </c>
      <c r="Q150" t="inlineStr">
        <is>
          <t>Director/Head / Ops/Tech/Finance/Commercial</t>
        </is>
      </c>
      <c r="R150" t="inlineStr"/>
      <c r="S150" s="3" t="inlineStr">
        <is>
          <t>Hi Nirmit, I work with retail leaders on adding AI capability without any rip-and-replace of the current ERP — lightweight AI that plugs into the ERP you already run. Given your seat at Vasant Masala, thought it was worth connecting.</t>
        </is>
      </c>
      <c r="T150" s="3" t="inlineStr">
        <is>
          <t>Thanks for connecting, Nirmit. Quick context: we ship SKU-level demand forecasting and auto-replenishment on top of your ERP. Teams typically start with one narrow use case and see results in weeks, not an ERP-project timeline. Worth a short look for Vasant Masala?</t>
        </is>
      </c>
      <c r="U150" s="3" t="inlineStr">
        <is>
          <t>Last note from me, Nirmit — timing is everything with these projects. If an AI-on-ERP pilot becomes relevant at Vasant Masala later, my line's open. Wishing you a strong quarter.</t>
        </is>
      </c>
      <c r="V150" t="inlineStr">
        <is>
          <t>Nirmit, a faster fix for stockouts</t>
        </is>
      </c>
      <c r="W150" s="3" t="inlineStr">
        <is>
          <t>Hi Nirmit,
As Director Exports, Food Production at Vasant Masala,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Vasant Masala?
Best,
{{SENDER_NAME}}
{{SENDER_EMAIL}} | Book directly: {{CALENDLY_URL}}
P.S. If this isn't relevant, reply "no thanks" and I won't follow up again.</t>
        </is>
      </c>
      <c r="X150" t="inlineStr">
        <is>
          <t>How teams like Vasant Masala start with AI on ERP</t>
        </is>
      </c>
      <c r="Y150" s="3" t="inlineStr">
        <is>
          <t>Hi Nirmit,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50" t="inlineStr">
        <is>
          <t>Last note — AI on ERP at Vasant Masala</t>
        </is>
      </c>
      <c r="AA150" s="3" t="inlineStr">
        <is>
          <t>Hi Nirmit,
I'll close the loop here — inbox zero is sacred.
If stockouts and excess inventory that the ERP reports only after the fact becomes a priority at Vasant Masala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50" t="inlineStr">
        <is>
          <t>Draft</t>
        </is>
      </c>
      <c r="AC150" t="n">
        <v>0</v>
      </c>
      <c r="AD150" t="inlineStr"/>
      <c r="AE150" t="inlineStr"/>
      <c r="AF150" t="inlineStr"/>
    </row>
    <row r="151">
      <c r="A151" t="inlineStr">
        <is>
          <t>Prasad</t>
        </is>
      </c>
      <c r="B151" t="inlineStr">
        <is>
          <t>Thakur</t>
        </is>
      </c>
      <c r="C151" t="inlineStr">
        <is>
          <t>Director - Finance &amp; Accounts</t>
        </is>
      </c>
      <c r="D151" t="inlineStr">
        <is>
          <t>Raymond Limited</t>
        </is>
      </c>
      <c r="E151" t="inlineStr">
        <is>
          <t>prasad.thakur@raymond.in</t>
        </is>
      </c>
      <c r="F151" t="n">
        <v>6800</v>
      </c>
      <c r="G151" t="inlineStr">
        <is>
          <t>textiles</t>
        </is>
      </c>
      <c r="H151" t="inlineStr">
        <is>
          <t>http://www.linkedin.com/in/prasad-thakur-19844124</t>
        </is>
      </c>
      <c r="I151" t="inlineStr">
        <is>
          <t>https://raymond.in</t>
        </is>
      </c>
      <c r="J151" t="inlineStr">
        <is>
          <t>Thane</t>
        </is>
      </c>
      <c r="K151" t="inlineStr">
        <is>
          <t>Maharashtra</t>
        </is>
      </c>
      <c r="L151" t="inlineStr">
        <is>
          <t>India</t>
        </is>
      </c>
      <c r="M151" t="n">
        <v>413868000</v>
      </c>
      <c r="N151" s="4" t="n">
        <v>75</v>
      </c>
      <c r="O151" s="4" t="inlineStr">
        <is>
          <t>B - Warm</t>
        </is>
      </c>
      <c r="P151" t="inlineStr">
        <is>
          <t>Tier 3 - Director/Head</t>
        </is>
      </c>
      <c r="Q151" t="inlineStr">
        <is>
          <t>Director/Head / Ops/Tech/Finance/Commercial</t>
        </is>
      </c>
      <c r="R151" t="inlineStr"/>
      <c r="S151" s="3" t="inlineStr">
        <is>
          <t>Hi Prasad, I work with textiles leaders on recovering margin leakage and freeing working capital trapped in inventory — lightweight AI that plugs into the ERP you already run. Given your seat at Raymond Limited, thought it was worth connecting.</t>
        </is>
      </c>
      <c r="T151" s="3" t="inlineStr">
        <is>
          <t>Appreciate the connect, Prasad. One idea for Raymond Limited: production scheduling and order-to-dispatch tracking layered on your ERP. It runs alongside your current ERP, so there's no migration risk — just one contained pilot. Happy to share how similar teams structure it.</t>
        </is>
      </c>
      <c r="U151" s="3" t="inlineStr">
        <is>
          <t>Prasad, closing the loop so I'm not another unread ping. If it's useful, I can send a one-pager on production scheduling and order-to-dispatch tracking layered on your ERP for Raymond Limited — zero meetings needed. Just say the word.</t>
        </is>
      </c>
      <c r="V151" t="inlineStr">
        <is>
          <t>Delivery-date slippage at Raymond Limited?</t>
        </is>
      </c>
      <c r="W151" s="3" t="inlineStr">
        <is>
          <t>Hi Prasad,
As Director - Finance &amp; Accounts at Raymond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Raymond Limited?
Best,
{{SENDER_NAME}}
{{SENDER_EMAIL}} | Book directly: {{CALENDLY_URL}}
P.S. If this isn't relevant, reply "no thanks" and I won't follow up again.</t>
        </is>
      </c>
      <c r="X151" t="inlineStr">
        <is>
          <t>Re: one small AI use case for Raymond Limited</t>
        </is>
      </c>
      <c r="Y151" s="3" t="inlineStr">
        <is>
          <t>Hi Prasad,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51" t="inlineStr">
        <is>
          <t>Last note — AI on ERP at Raymond Limited</t>
        </is>
      </c>
      <c r="AA151" s="3" t="inlineStr">
        <is>
          <t>Hi Prasad,
I'll close the loop here — inbox zero is sacred.
If delivery-date slippage and yarn/greige inventory pile-ups becomes a priority at Raymond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51" t="inlineStr">
        <is>
          <t>Draft</t>
        </is>
      </c>
      <c r="AC151" t="n">
        <v>0</v>
      </c>
      <c r="AD151" t="inlineStr"/>
      <c r="AE151" t="inlineStr"/>
      <c r="AF151" t="inlineStr"/>
    </row>
    <row r="152">
      <c r="A152" t="inlineStr">
        <is>
          <t>Vinay</t>
        </is>
      </c>
      <c r="B152" t="inlineStr">
        <is>
          <t>Kumar</t>
        </is>
      </c>
      <c r="C152" t="inlineStr">
        <is>
          <t>Director, Procurement</t>
        </is>
      </c>
      <c r="D152" t="inlineStr">
        <is>
          <t>Allana Group</t>
        </is>
      </c>
      <c r="E152" t="inlineStr">
        <is>
          <t>vkumar@allana.com</t>
        </is>
      </c>
      <c r="F152" t="n">
        <v>7500</v>
      </c>
      <c r="G152" t="inlineStr">
        <is>
          <t>food production</t>
        </is>
      </c>
      <c r="H152" t="inlineStr">
        <is>
          <t>http://www.linkedin.com/in/vinay-kumar-85099322</t>
        </is>
      </c>
      <c r="I152" t="inlineStr">
        <is>
          <t>https://allana.com</t>
        </is>
      </c>
      <c r="J152" t="inlineStr">
        <is>
          <t>Mumbai</t>
        </is>
      </c>
      <c r="K152" t="inlineStr">
        <is>
          <t>Maharashtra</t>
        </is>
      </c>
      <c r="L152" t="inlineStr">
        <is>
          <t>India</t>
        </is>
      </c>
      <c r="M152" t="n">
        <v>1494036000</v>
      </c>
      <c r="N152" s="4" t="n">
        <v>75</v>
      </c>
      <c r="O152" s="4" t="inlineStr">
        <is>
          <t>B - Warm</t>
        </is>
      </c>
      <c r="P152" t="inlineStr">
        <is>
          <t>Tier 3 - Director/Head</t>
        </is>
      </c>
      <c r="Q152" t="inlineStr">
        <is>
          <t>Director/Head / Ops/Tech/Finance/Commercial</t>
        </is>
      </c>
      <c r="R152" t="inlineStr"/>
      <c r="S152" s="3" t="inlineStr">
        <is>
          <t>Hi Vinay, your work as Director, Procurement at Allana Group caught my eye. We build small AI use cases that sit on top of existing ERPs — think adding AI capability without any rip-and-replace of the current ERP. Would be glad to connect.</t>
        </is>
      </c>
      <c r="T152" s="3" t="inlineStr">
        <is>
          <t>Thanks for connecting, Vinay. Quick context: we ship yield prediction and QC anomaly detection fed by your ERP batch data. Teams typically start with one narrow use case and see results in weeks, not an ERP-project timeline. Worth a short look for Allana Group?</t>
        </is>
      </c>
      <c r="U152" s="3" t="inlineStr">
        <is>
          <t>Vinay, I'll leave this here rather than keep nudging — if batch-to-batch yield swings and manual quality paperwork ever climbs the priority list at Allana Group, a 15-minute call is all it takes to see if there's a fit. Either way, good luck this quarter.</t>
        </is>
      </c>
      <c r="V152" t="inlineStr">
        <is>
          <t>Batch-to-batch yield swings at Allana Group?</t>
        </is>
      </c>
      <c r="W152" s="3" t="inlineStr">
        <is>
          <t>Hi Vinay,
As Director, Procurement at Allana Group,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Allana Group?
Best,
{{SENDER_NAME}}
{{SENDER_EMAIL}} | Book directly: {{CALENDLY_URL}}
P.S. If this isn't relevant, reply "no thanks" and I won't follow up again.</t>
        </is>
      </c>
      <c r="X152" t="inlineStr">
        <is>
          <t>How teams like Allana Group start with AI on ERP</t>
        </is>
      </c>
      <c r="Y152" s="3" t="inlineStr">
        <is>
          <t>Hi Vinay,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52" t="inlineStr">
        <is>
          <t>Closing the loop, Vinay</t>
        </is>
      </c>
      <c r="AA152" s="3" t="inlineStr">
        <is>
          <t>Hi Vinay,
I'll close the loop here — inbox zero is sacred.
If batch-to-batch yield swings and manual quality paperwork becomes a priority at Allana Group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52" t="inlineStr">
        <is>
          <t>Draft</t>
        </is>
      </c>
      <c r="AC152" t="n">
        <v>0</v>
      </c>
      <c r="AD152" t="inlineStr"/>
      <c r="AE152" t="inlineStr"/>
      <c r="AF152" t="inlineStr"/>
    </row>
    <row r="153">
      <c r="A153" t="inlineStr">
        <is>
          <t>Pooja</t>
        </is>
      </c>
      <c r="B153" t="inlineStr">
        <is>
          <t>Mahajan</t>
        </is>
      </c>
      <c r="C153" t="inlineStr">
        <is>
          <t>Chief People Officer - 7-Eleven India</t>
        </is>
      </c>
      <c r="D153" t="inlineStr">
        <is>
          <t>Reliance Retail</t>
        </is>
      </c>
      <c r="E153" t="inlineStr">
        <is>
          <t>pooja.mahajan@ril.com</t>
        </is>
      </c>
      <c r="F153" t="n">
        <v>246000</v>
      </c>
      <c r="G153" t="inlineStr">
        <is>
          <t>retail</t>
        </is>
      </c>
      <c r="H153" t="inlineStr">
        <is>
          <t>http://www.linkedin.com/in/pooja-mahajan-7a405021</t>
        </is>
      </c>
      <c r="I153" t="inlineStr">
        <is>
          <t>https://relianceretail.com</t>
        </is>
      </c>
      <c r="J153" t="inlineStr">
        <is>
          <t>Thane</t>
        </is>
      </c>
      <c r="K153" t="inlineStr">
        <is>
          <t>Maharashtra</t>
        </is>
      </c>
      <c r="L153" t="inlineStr">
        <is>
          <t>India</t>
        </is>
      </c>
      <c r="M153" t="n">
        <v>3864000000</v>
      </c>
      <c r="N153" s="4" t="n">
        <v>75</v>
      </c>
      <c r="O153" s="4" t="inlineStr">
        <is>
          <t>B - Warm</t>
        </is>
      </c>
      <c r="P153" t="inlineStr">
        <is>
          <t>Tier 2 - VP</t>
        </is>
      </c>
      <c r="Q153" t="inlineStr">
        <is>
          <t>VP / General</t>
        </is>
      </c>
      <c r="R153" t="inlineStr"/>
      <c r="S153" s="3" t="inlineStr">
        <is>
          <t>Hi Pooja, your work as Chief People Officer - 7-Eleven India at Reliance Retail caught my eye. We build small AI use cases that sit on top of existing ERPs — think measurable margin and working-capital gains within a quarter. Would be glad to connect.</t>
        </is>
      </c>
      <c r="T153" s="3" t="inlineStr">
        <is>
          <t>Appreciate the connect, Pooja. One idea for Reliance Retail: SKU-level demand forecasting and auto-replenishment on top of your ERP. It runs alongside your current ERP, so there's no migration risk — just one contained pilot. Happy to share how similar teams structure it.</t>
        </is>
      </c>
      <c r="U153" s="3" t="inlineStr">
        <is>
          <t>Last note from me, Pooja — timing is everything with these projects. If an AI-on-ERP pilot becomes relevant at Reliance Retail later, my line's open. Wishing you a strong quarter.</t>
        </is>
      </c>
      <c r="V153" t="inlineStr">
        <is>
          <t>Stockouts at Reliance Retail?</t>
        </is>
      </c>
      <c r="W153" s="3" t="inlineStr">
        <is>
          <t>Hi Pooja,
As Chief People Officer - 7-Eleven India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153" t="inlineStr">
        <is>
          <t>Pooja — the 3-week pilot version</t>
        </is>
      </c>
      <c r="Y153" s="3" t="inlineStr">
        <is>
          <t>Hi Pooja,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53" t="inlineStr">
        <is>
          <t>Last note — AI on ERP at Reliance Retail</t>
        </is>
      </c>
      <c r="AA153" s="3" t="inlineStr">
        <is>
          <t>Hi Pooja,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53" t="inlineStr">
        <is>
          <t>Draft</t>
        </is>
      </c>
      <c r="AC153" t="n">
        <v>0</v>
      </c>
      <c r="AD153" t="inlineStr"/>
      <c r="AE153" t="inlineStr"/>
      <c r="AF153" t="inlineStr"/>
    </row>
    <row r="154">
      <c r="A154" t="inlineStr">
        <is>
          <t>Vishal</t>
        </is>
      </c>
      <c r="B154" t="inlineStr">
        <is>
          <t>Chordia</t>
        </is>
      </c>
      <c r="C154" t="inlineStr">
        <is>
          <t>Director - Strategy and Marketing</t>
        </is>
      </c>
      <c r="D154" t="inlineStr">
        <is>
          <t>Pravin Masalewale</t>
        </is>
      </c>
      <c r="E154" t="inlineStr">
        <is>
          <t>vishal.chordia@suhana.co.in</t>
        </is>
      </c>
      <c r="F154" t="n">
        <v>650</v>
      </c>
      <c r="G154" t="inlineStr">
        <is>
          <t>food production</t>
        </is>
      </c>
      <c r="H154" t="inlineStr">
        <is>
          <t>http://www.linkedin.com/in/vishal-chordia-35a173a</t>
        </is>
      </c>
      <c r="I154" t="inlineStr">
        <is>
          <t>https://suhana.com</t>
        </is>
      </c>
      <c r="J154" t="inlineStr">
        <is>
          <t>Pune</t>
        </is>
      </c>
      <c r="K154" t="inlineStr">
        <is>
          <t>Maharashtra</t>
        </is>
      </c>
      <c r="L154" t="inlineStr">
        <is>
          <t>India</t>
        </is>
      </c>
      <c r="M154" t="n">
        <v>125000000</v>
      </c>
      <c r="N154" s="4" t="n">
        <v>75</v>
      </c>
      <c r="O154" s="4" t="inlineStr">
        <is>
          <t>B - Warm</t>
        </is>
      </c>
      <c r="P154" t="inlineStr">
        <is>
          <t>Tier 3 - Director/Head</t>
        </is>
      </c>
      <c r="Q154" t="inlineStr">
        <is>
          <t>Director/Head / Ops/Tech/Finance/Commercial</t>
        </is>
      </c>
      <c r="R154" t="inlineStr"/>
      <c r="S154" s="3" t="inlineStr">
        <is>
          <t>Hi Vishal, your work as Director - Strategy and Marketing at Pravin Masalewale caught my eye. We build small AI use cases that sit on top of existing ERPs — think adding AI capability without any rip-and-replace of the current ERP. Would be glad to connect.</t>
        </is>
      </c>
      <c r="T154" s="3" t="inlineStr">
        <is>
          <t>Glad to be connected, Vishal. Most food production teams we meet struggle with batch-to-batch yield swings and manual quality paperwork. We fix exactly that with yield prediction and QC anomaly detection fed by your ERP batch data. Open to a 15-minute walkthrough?</t>
        </is>
      </c>
      <c r="U154" s="3" t="inlineStr">
        <is>
          <t>Vishal, closing the loop so I'm not another unread ping. If it's useful, I can send a one-pager on yield prediction and QC anomaly detection fed by your ERP batch data for Pravin Masalewale — zero meetings needed. Just say the word.</t>
        </is>
      </c>
      <c r="V154" t="inlineStr">
        <is>
          <t>Vishal, a faster fix for batch-to-batch yield swings</t>
        </is>
      </c>
      <c r="W154" s="3" t="inlineStr">
        <is>
          <t>Hi Vishal,
As Director - Strategy and Marketing at Pravin Masalewale,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Pravin Masalewale?
Best,
{{SENDER_NAME}}
{{SENDER_EMAIL}} | Book directly: {{CALENDLY_URL}}
P.S. If this isn't relevant, reply "no thanks" and I won't follow up again.</t>
        </is>
      </c>
      <c r="X154" t="inlineStr">
        <is>
          <t>Re: one small AI use case for Pravin Masalewale</t>
        </is>
      </c>
      <c r="Y154" s="3" t="inlineStr">
        <is>
          <t>Hi Vishal,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54" t="inlineStr">
        <is>
          <t>Should I stay or should I go, Vishal?</t>
        </is>
      </c>
      <c r="AA154" s="3" t="inlineStr">
        <is>
          <t>Hi Vishal,
I'll close the loop here — inbox zero is sacred.
If batch-to-batch yield swings and manual quality paperwork becomes a priority at Pravin Masalewale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54" t="inlineStr">
        <is>
          <t>Draft</t>
        </is>
      </c>
      <c r="AC154" t="n">
        <v>0</v>
      </c>
      <c r="AD154" t="inlineStr"/>
      <c r="AE154" t="inlineStr"/>
      <c r="AF154" t="inlineStr"/>
    </row>
    <row r="155">
      <c r="A155" t="inlineStr">
        <is>
          <t>Upendra</t>
        </is>
      </c>
      <c r="B155" t="inlineStr">
        <is>
          <t>Pandey</t>
        </is>
      </c>
      <c r="C155" t="inlineStr">
        <is>
          <t>Chief Executive Officer</t>
        </is>
      </c>
      <c r="D155" t="inlineStr">
        <is>
          <t>Heritage Nutrivet Limited</t>
        </is>
      </c>
      <c r="E155" t="inlineStr">
        <is>
          <t>upendra.pandey@heritagenutrivet.in</t>
        </is>
      </c>
      <c r="F155" t="n">
        <v>110</v>
      </c>
      <c r="G155" t="inlineStr">
        <is>
          <t>food production</t>
        </is>
      </c>
      <c r="H155" t="inlineStr">
        <is>
          <t>http://www.linkedin.com/in/upendra-pandey-985a325</t>
        </is>
      </c>
      <c r="I155" t="inlineStr"/>
      <c r="J155" t="inlineStr">
        <is>
          <t>Hyderabad</t>
        </is>
      </c>
      <c r="K155" t="inlineStr">
        <is>
          <t>Telangana</t>
        </is>
      </c>
      <c r="L155" t="inlineStr">
        <is>
          <t>India</t>
        </is>
      </c>
      <c r="M155" t="n">
        <v>480147000</v>
      </c>
      <c r="N155" s="4" t="n">
        <v>75</v>
      </c>
      <c r="O155" s="4" t="inlineStr">
        <is>
          <t>B - Warm</t>
        </is>
      </c>
      <c r="P155" t="inlineStr">
        <is>
          <t>Tier 1 - C-Suite/Founder</t>
        </is>
      </c>
      <c r="Q155" t="inlineStr">
        <is>
          <t>C-Suite/Founder / General</t>
        </is>
      </c>
      <c r="R155" t="inlineStr"/>
      <c r="S155" s="3" t="inlineStr">
        <is>
          <t>Hi Upendra, we help teams like Heritage Nutrivet Limited's tackle batch-to-batch yield swings and manual quality paperwork with AI add-ons to their existing ERP — no replatforming. Keen to connect and swap notes.</t>
        </is>
      </c>
      <c r="T155" s="3" t="inlineStr">
        <is>
          <t>Glad to be connected, Upendra. Most food production teams we meet struggle with batch-to-batch yield swings and manual quality paperwork. We fix exactly that with yield prediction and QC anomaly detection fed by your ERP batch data. Open to a 15-minute walkthrough?</t>
        </is>
      </c>
      <c r="U155" s="3" t="inlineStr">
        <is>
          <t>Upendra, closing the loop so I'm not another unread ping. If it's useful, I can send a one-pager on yield prediction and QC anomaly detection fed by your ERP batch data for Heritage Nutrivet Limited — zero meetings needed. Just say the word.</t>
        </is>
      </c>
      <c r="V155" t="inlineStr">
        <is>
          <t>Upendra, a faster fix for batch-to-batch yield swings</t>
        </is>
      </c>
      <c r="W155" s="3" t="inlineStr">
        <is>
          <t>Hi Upendra,
As Chief Executive Officer at Heritage Nutrivet Limited,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measurable margin and working-capital gains within a quarter.
Open to a 15-minute call to see if there's a fit for Heritage Nutrivet Limited?
Best,
{{SENDER_NAME}}
{{SENDER_EMAIL}} | Book directly: {{CALENDLY_URL}}
P.S. If this isn't relevant, reply "no thanks" and I won't follow up again.</t>
        </is>
      </c>
      <c r="X155" t="inlineStr">
        <is>
          <t>Upendra — the 3-week pilot version</t>
        </is>
      </c>
      <c r="Y155" s="3" t="inlineStr">
        <is>
          <t>Hi Upendra,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55" t="inlineStr">
        <is>
          <t>Closing the loop, Upendra</t>
        </is>
      </c>
      <c r="AA155" s="3" t="inlineStr">
        <is>
          <t>Hi Upendra,
I'll close the loop here — inbox zero is sacred.
If batch-to-batch yield swings and manual quality paperwork becomes a priority at Heritage Nutrivet Limited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55" t="inlineStr">
        <is>
          <t>Draft</t>
        </is>
      </c>
      <c r="AC155" t="n">
        <v>0</v>
      </c>
      <c r="AD155" t="inlineStr"/>
      <c r="AE155" t="inlineStr"/>
      <c r="AF155" t="inlineStr"/>
    </row>
    <row r="156">
      <c r="A156" t="inlineStr">
        <is>
          <t>Vipul</t>
        </is>
      </c>
      <c r="B156" t="inlineStr">
        <is>
          <t>Gupta</t>
        </is>
      </c>
      <c r="C156" t="inlineStr">
        <is>
          <t>Chief Sales Officer</t>
        </is>
      </c>
      <c r="D156" t="inlineStr">
        <is>
          <t>Reliance Retail</t>
        </is>
      </c>
      <c r="E156" t="inlineStr">
        <is>
          <t>vipul.gupta@ril.com</t>
        </is>
      </c>
      <c r="F156" t="n">
        <v>246000</v>
      </c>
      <c r="G156" t="inlineStr">
        <is>
          <t>retail</t>
        </is>
      </c>
      <c r="H156" t="inlineStr">
        <is>
          <t>http://www.linkedin.com/in/vipul-gupta-ab2a94270</t>
        </is>
      </c>
      <c r="I156" t="inlineStr">
        <is>
          <t>https://relianceretail.com</t>
        </is>
      </c>
      <c r="J156" t="inlineStr">
        <is>
          <t>Banda</t>
        </is>
      </c>
      <c r="K156" t="inlineStr">
        <is>
          <t>Uttar Pradesh</t>
        </is>
      </c>
      <c r="L156" t="inlineStr">
        <is>
          <t>India</t>
        </is>
      </c>
      <c r="M156" t="n">
        <v>3864000000</v>
      </c>
      <c r="N156" s="5" t="n">
        <v>74</v>
      </c>
      <c r="O156" s="5" t="inlineStr">
        <is>
          <t>C - Nurture</t>
        </is>
      </c>
      <c r="P156" t="inlineStr">
        <is>
          <t>Tier 2 - VP</t>
        </is>
      </c>
      <c r="Q156" t="inlineStr">
        <is>
          <t>VP / Sales/Marketing</t>
        </is>
      </c>
      <c r="R156" t="inlineStr"/>
      <c r="S156" s="3" t="inlineStr">
        <is>
          <t>Hi Vipul, we help teams like Reliance Retail's tackle stockouts and excess inventory that the ERP reports only after the fact with AI add-ons to their existing ERP — no replatforming. Keen to connect and swap notes.</t>
        </is>
      </c>
      <c r="T156" s="3" t="inlineStr">
        <is>
          <t>Glad to be connected, Vipul. Most retail teams we meet struggle with stockouts and excess inventory that the ERP reports only after the fact. We fix exactly that with SKU-level demand forecasting and auto-replenishment on top of your ERP. Open to a 15-minute walkthrough?</t>
        </is>
      </c>
      <c r="U156" s="3" t="inlineStr">
        <is>
          <t>Last note from me, Vipul — timing is everything with these projects. If an AI-on-ERP pilot becomes relevant at Reliance Retail later, my line's open. Wishing you a strong quarter.</t>
        </is>
      </c>
      <c r="V156" t="inlineStr">
        <is>
          <t>AI on top of Reliance Retail's ERP — one small use case</t>
        </is>
      </c>
      <c r="W156" s="3" t="inlineStr">
        <is>
          <t>Hi Vipul,
As Chief Sales Officer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156" t="inlineStr">
        <is>
          <t>How teams like Reliance Retail start with AI on ERP</t>
        </is>
      </c>
      <c r="Y156" s="3" t="inlineStr">
        <is>
          <t>Hi Vipul,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56" t="inlineStr">
        <is>
          <t>Last note — AI on ERP at Reliance Retail</t>
        </is>
      </c>
      <c r="AA156" s="3" t="inlineStr">
        <is>
          <t>Hi Vipul,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56" t="inlineStr">
        <is>
          <t>Draft</t>
        </is>
      </c>
      <c r="AC156" t="n">
        <v>0</v>
      </c>
      <c r="AD156" t="inlineStr"/>
      <c r="AE156" t="inlineStr"/>
      <c r="AF156" t="inlineStr"/>
    </row>
    <row r="157">
      <c r="A157" t="inlineStr">
        <is>
          <t>Saliq</t>
        </is>
      </c>
      <c r="B157" t="inlineStr">
        <is>
          <t>Wani</t>
        </is>
      </c>
      <c r="C157" t="inlineStr">
        <is>
          <t>Chief Sales Officer (CSO)</t>
        </is>
      </c>
      <c r="D157" t="inlineStr">
        <is>
          <t>Reliance Retail</t>
        </is>
      </c>
      <c r="E157" t="inlineStr">
        <is>
          <t>saliq.wani@ril.com</t>
        </is>
      </c>
      <c r="F157" t="n">
        <v>246000</v>
      </c>
      <c r="G157" t="inlineStr">
        <is>
          <t>retail</t>
        </is>
      </c>
      <c r="H157" t="inlineStr">
        <is>
          <t>http://www.linkedin.com/in/saliq-khurshid-wani-44482a235</t>
        </is>
      </c>
      <c r="I157" t="inlineStr">
        <is>
          <t>https://relianceretail.com</t>
        </is>
      </c>
      <c r="J157" t="inlineStr">
        <is>
          <t>Srinagar</t>
        </is>
      </c>
      <c r="K157" t="inlineStr"/>
      <c r="L157" t="inlineStr"/>
      <c r="M157" t="n">
        <v>3864000000</v>
      </c>
      <c r="N157" s="5" t="n">
        <v>74</v>
      </c>
      <c r="O157" s="5" t="inlineStr">
        <is>
          <t>C - Nurture</t>
        </is>
      </c>
      <c r="P157" t="inlineStr">
        <is>
          <t>Tier 2 - VP</t>
        </is>
      </c>
      <c r="Q157" t="inlineStr">
        <is>
          <t>VP / Sales/Marketing</t>
        </is>
      </c>
      <c r="R157" t="inlineStr"/>
      <c r="S157" s="3" t="inlineStr">
        <is>
          <t>Hi Saliq, we help teams like Reliance Retail's tackle stockouts and excess inventory that the ERP reports only after the fact with AI add-ons to their existing ERP — no replatforming. Keen to connect and swap notes.</t>
        </is>
      </c>
      <c r="T157" s="3" t="inlineStr">
        <is>
          <t>Appreciate the connect, Saliq. One idea for Reliance Retail: SKU-level demand forecasting and auto-replenishment on top of your ERP. It runs alongside your current ERP, so there's no migration risk — just one contained pilot. Happy to share how similar teams structure it.</t>
        </is>
      </c>
      <c r="U157" s="3" t="inlineStr">
        <is>
          <t>Saliq, closing the loop so I'm not another unread ping. If it's useful, I can send a one-pager on SKU-level demand forecasting and auto-replenishment on top of your ERP for Reliance Retail — zero meetings needed. Just say the word.</t>
        </is>
      </c>
      <c r="V157" t="inlineStr">
        <is>
          <t>Stockouts at Reliance Retail?</t>
        </is>
      </c>
      <c r="W157" s="3" t="inlineStr">
        <is>
          <t>Hi Saliq,
As Chief Sales Officer (CSO)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Reliance Retail?
Best,
{{SENDER_NAME}}
{{SENDER_EMAIL}} | Book directly: {{CALENDLY_URL}}
P.S. If this isn't relevant, reply "no thanks" and I won't follow up again.</t>
        </is>
      </c>
      <c r="X157" t="inlineStr">
        <is>
          <t>Re: one small AI use case for Reliance Retail</t>
        </is>
      </c>
      <c r="Y157" s="3" t="inlineStr">
        <is>
          <t>Hi Saliq,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57" t="inlineStr">
        <is>
          <t>Closing the loop, Saliq</t>
        </is>
      </c>
      <c r="AA157" s="3" t="inlineStr">
        <is>
          <t>Hi Saliq,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57" t="inlineStr">
        <is>
          <t>Draft</t>
        </is>
      </c>
      <c r="AC157" t="n">
        <v>0</v>
      </c>
      <c r="AD157" t="inlineStr"/>
      <c r="AE157" t="inlineStr"/>
      <c r="AF157" t="inlineStr"/>
    </row>
    <row r="158">
      <c r="A158" t="inlineStr">
        <is>
          <t>Analucia</t>
        </is>
      </c>
      <c r="B158" t="inlineStr">
        <is>
          <t>Fonseca</t>
        </is>
      </c>
      <c r="C158" t="inlineStr">
        <is>
          <t>Supply Chain Director</t>
        </is>
      </c>
      <c r="D158" t="inlineStr">
        <is>
          <t>UPL</t>
        </is>
      </c>
      <c r="E158" t="inlineStr">
        <is>
          <t>analucia.fonseca@upl-ltd.com</t>
        </is>
      </c>
      <c r="F158" t="n">
        <v>12000</v>
      </c>
      <c r="G158" t="inlineStr">
        <is>
          <t>farming</t>
        </is>
      </c>
      <c r="H158" t="inlineStr">
        <is>
          <t>http://www.linkedin.com/in/analucia-fonseca-4142a027</t>
        </is>
      </c>
      <c r="I158" t="inlineStr">
        <is>
          <t>https://upl-ltd.com</t>
        </is>
      </c>
      <c r="J158" t="inlineStr">
        <is>
          <t>Campinas</t>
        </is>
      </c>
      <c r="K158" t="inlineStr">
        <is>
          <t>State of Sao Paulo</t>
        </is>
      </c>
      <c r="L158" t="inlineStr">
        <is>
          <t>Brazil</t>
        </is>
      </c>
      <c r="M158" t="n">
        <v>5508517000</v>
      </c>
      <c r="N158" s="5" t="n">
        <v>74</v>
      </c>
      <c r="O158" s="5" t="inlineStr">
        <is>
          <t>C - Nurture</t>
        </is>
      </c>
      <c r="P158" t="inlineStr">
        <is>
          <t>Tier 3 - Director/Head</t>
        </is>
      </c>
      <c r="Q158" t="inlineStr">
        <is>
          <t>Director/Head / Ops/Tech/Finance/Commercial</t>
        </is>
      </c>
      <c r="R158" t="inlineStr"/>
      <c r="S158" s="3" t="inlineStr">
        <is>
          <t>Hi Analucia, we help teams like UPL's tackle volatile procurement prices and manual arrival planning with AI add-ons to their existing ERP — no replatforming. Keen to connect and swap notes.</t>
        </is>
      </c>
      <c r="T158" s="3" t="inlineStr">
        <is>
          <t>Thanks for connecting, Analucia. Quick context: we ship procurement price forecasting and supply planning connected to your ERP. Teams typically start with one narrow use case and see results in weeks, not an ERP-project timeline. Worth a short look for UPL?</t>
        </is>
      </c>
      <c r="U158" s="3" t="inlineStr">
        <is>
          <t>Analucia, I'll leave this here rather than keep nudging — if volatile procurement prices and manual arrival planning ever climbs the priority list at UPL, a 15-minute call is all it takes to see if there's a fit. Either way, good luck this quarter.</t>
        </is>
      </c>
      <c r="V158" t="inlineStr">
        <is>
          <t>Analucia, a faster fix for volatile procurement prices</t>
        </is>
      </c>
      <c r="W158" s="3" t="inlineStr">
        <is>
          <t>Hi Analucia,
As Supply Chain Director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UPL?
Best,
{{SENDER_NAME}}
{{SENDER_EMAIL}} | Book directly: {{CALENDLY_URL}}
P.S. If this isn't relevant, reply "no thanks" and I won't follow up again.</t>
        </is>
      </c>
      <c r="X158" t="inlineStr">
        <is>
          <t>Analucia — the 3-week pilot version</t>
        </is>
      </c>
      <c r="Y158" s="3" t="inlineStr">
        <is>
          <t>Hi Analucia,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158" t="inlineStr">
        <is>
          <t>Closing the loop, Analucia</t>
        </is>
      </c>
      <c r="AA158" s="3" t="inlineStr">
        <is>
          <t>Hi Analucia,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158" t="inlineStr">
        <is>
          <t>Draft</t>
        </is>
      </c>
      <c r="AC158" t="n">
        <v>0</v>
      </c>
      <c r="AD158" t="inlineStr"/>
      <c r="AE158" t="inlineStr"/>
      <c r="AF158" t="inlineStr"/>
    </row>
    <row r="159">
      <c r="A159" t="inlineStr">
        <is>
          <t>Samana</t>
        </is>
      </c>
      <c r="B159" t="inlineStr">
        <is>
          <t>Tejani</t>
        </is>
      </c>
      <c r="C159" t="inlineStr">
        <is>
          <t>Director- Production</t>
        </is>
      </c>
      <c r="D159" t="inlineStr">
        <is>
          <t>Gits Food Products Pvt.Ltd</t>
        </is>
      </c>
      <c r="E159" t="inlineStr">
        <is>
          <t>samana@gitsfood.com</t>
        </is>
      </c>
      <c r="F159" t="n">
        <v>380</v>
      </c>
      <c r="G159" t="inlineStr">
        <is>
          <t>food production</t>
        </is>
      </c>
      <c r="H159" t="inlineStr">
        <is>
          <t>http://www.linkedin.com/in/samana-tejani-3a990320</t>
        </is>
      </c>
      <c r="I159" t="inlineStr">
        <is>
          <t>https://gitsfood.com</t>
        </is>
      </c>
      <c r="J159" t="inlineStr">
        <is>
          <t>Pune</t>
        </is>
      </c>
      <c r="K159" t="inlineStr">
        <is>
          <t>Maharashtra</t>
        </is>
      </c>
      <c r="L159" t="inlineStr">
        <is>
          <t>India</t>
        </is>
      </c>
      <c r="M159" t="n">
        <v>205500000</v>
      </c>
      <c r="N159" s="5" t="n">
        <v>72</v>
      </c>
      <c r="O159" s="5" t="inlineStr">
        <is>
          <t>C - Nurture</t>
        </is>
      </c>
      <c r="P159" t="inlineStr">
        <is>
          <t>Tier 3 - Director/Head</t>
        </is>
      </c>
      <c r="Q159" t="inlineStr">
        <is>
          <t>Director/Head / Ops/Tech/Finance/Commercial</t>
        </is>
      </c>
      <c r="R159" t="inlineStr"/>
      <c r="S159" s="3" t="inlineStr">
        <is>
          <t>Hi Samana, we help teams like Gits Food Products Pvt.Ltd's tackle batch-to-batch yield swings and manual quality paperwork with AI add-ons to their existing ERP — no replatforming. Keen to connect and swap notes.</t>
        </is>
      </c>
      <c r="T159" s="3" t="inlineStr">
        <is>
          <t>Glad to be connected, Samana. Most food production teams we meet struggle with batch-to-batch yield swings and manual quality paperwork. We fix exactly that with yield prediction and QC anomaly detection fed by your ERP batch data. Open to a 15-minute walkthrough?</t>
        </is>
      </c>
      <c r="U159" s="3" t="inlineStr">
        <is>
          <t>Last note from me, Samana — timing is everything with these projects. If an AI-on-ERP pilot becomes relevant at Gits Food Products Pvt.Ltd later, my line's open. Wishing you a strong quarter.</t>
        </is>
      </c>
      <c r="V159" t="inlineStr">
        <is>
          <t>Samana, a faster fix for batch-to-batch yield swings</t>
        </is>
      </c>
      <c r="W159" s="3" t="inlineStr">
        <is>
          <t>Hi Samana,
As Director- Production at Gits Food Products Pvt.Ltd,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Gits Food Products Pvt.Ltd?
Best,
{{SENDER_NAME}}
{{SENDER_EMAIL}} | Book directly: {{CALENDLY_URL}}
P.S. If this isn't relevant, reply "no thanks" and I won't follow up again.</t>
        </is>
      </c>
      <c r="X159" t="inlineStr">
        <is>
          <t>Re: one small AI use case for Gits Food Products Pvt.Ltd</t>
        </is>
      </c>
      <c r="Y159" s="3" t="inlineStr">
        <is>
          <t>Hi Samana,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59" t="inlineStr">
        <is>
          <t>Should I stay or should I go, Samana?</t>
        </is>
      </c>
      <c r="AA159" s="3" t="inlineStr">
        <is>
          <t>Hi Samana,
I'll close the loop here — inbox zero is sacred.
If batch-to-batch yield swings and manual quality paperwork becomes a priority at Gits Food Products Pvt.Ltd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59" t="inlineStr">
        <is>
          <t>Draft</t>
        </is>
      </c>
      <c r="AC159" t="n">
        <v>0</v>
      </c>
      <c r="AD159" t="inlineStr"/>
      <c r="AE159" t="inlineStr"/>
      <c r="AF159" t="inlineStr"/>
    </row>
    <row r="160">
      <c r="A160" t="inlineStr">
        <is>
          <t>Mukund</t>
        </is>
      </c>
      <c r="B160" t="inlineStr">
        <is>
          <t>J</t>
        </is>
      </c>
      <c r="C160" t="inlineStr">
        <is>
          <t>Head Investor Relations &amp; Chief Risk Officer</t>
        </is>
      </c>
      <c r="D160" t="inlineStr">
        <is>
          <t>Allied Blenders &amp; Distillers Ltd.</t>
        </is>
      </c>
      <c r="E160" t="inlineStr">
        <is>
          <t>jmukund@abdindia.com</t>
        </is>
      </c>
      <c r="F160" t="n">
        <v>1500</v>
      </c>
      <c r="G160" t="inlineStr">
        <is>
          <t>food production</t>
        </is>
      </c>
      <c r="H160" t="inlineStr">
        <is>
          <t>http://www.linkedin.com/in/jmukund</t>
        </is>
      </c>
      <c r="I160" t="inlineStr">
        <is>
          <t>https://abdindia.com</t>
        </is>
      </c>
      <c r="J160" t="inlineStr">
        <is>
          <t>Mumbai</t>
        </is>
      </c>
      <c r="K160" t="inlineStr">
        <is>
          <t>Maharashtra</t>
        </is>
      </c>
      <c r="L160" t="inlineStr">
        <is>
          <t>India</t>
        </is>
      </c>
      <c r="M160" t="n">
        <v>919430000</v>
      </c>
      <c r="N160" s="5" t="n">
        <v>72</v>
      </c>
      <c r="O160" s="5" t="inlineStr">
        <is>
          <t>C - Nurture</t>
        </is>
      </c>
      <c r="P160" t="inlineStr">
        <is>
          <t>Tier 2 - VP</t>
        </is>
      </c>
      <c r="Q160" t="inlineStr">
        <is>
          <t>VP / General</t>
        </is>
      </c>
      <c r="R160" t="inlineStr"/>
      <c r="S160" s="3" t="inlineStr">
        <is>
          <t>Hi Mukund, I work with food production leaders on measurable margin and working-capital gains within a quarter — lightweight AI that plugs into the ERP you already run. Given your seat at Allied Blenders &amp; Distillers Ltd., thought it was worth connecting.</t>
        </is>
      </c>
      <c r="T160" s="3" t="inlineStr">
        <is>
          <t>Thanks for connecting, Mukund. Quick context: we ship yield prediction and QC anomaly detection fed by your ERP batch data. Teams typically start with one narrow use case and see results in weeks, not an ERP-project timeline. Worth a short look for Allied Blenders &amp; Distillers Ltd.?</t>
        </is>
      </c>
      <c r="U160" s="3" t="inlineStr">
        <is>
          <t>Mukund, closing the loop so I'm not another unread ping. If it's useful, I can send a one-pager on yield prediction and QC anomaly detection fed by your ERP batch data for Allied Blenders &amp; Distillers Ltd. — zero meetings needed. Just say the word.</t>
        </is>
      </c>
      <c r="V160" t="inlineStr">
        <is>
          <t>Mukund, a faster fix for batch-to-batch yield swings</t>
        </is>
      </c>
      <c r="W160" s="3" t="inlineStr">
        <is>
          <t>Hi Mukund,
As Head Investor Relations &amp; Chief Risk Officer at Allied Blenders &amp; Distillers Ltd., you likely see batch-to-batch yield swings and manual quality paperwork more closely than anyone.
We build AI solutions that plug into your existing ERP for small, high-impact use cases across retail ecosystems — starting with yield prediction and QC anomaly detection fed by your ERP batch data. No rip-and-replace: it reads
from and writes back to the ERP you already run, and one contained use case is
usually live in weeks.
For someone in your seat, the payoff is measurable margin and working-capital gains within a quarter.
Open to a 15-minute call to see if there's a fit for Allied Blenders &amp; Distillers Ltd.?
Best,
{{SENDER_NAME}}
{{SENDER_EMAIL}} | Book directly: {{CALENDLY_URL}}
P.S. If this isn't relevant, reply "no thanks" and I won't follow up again.</t>
        </is>
      </c>
      <c r="X160" t="inlineStr">
        <is>
          <t>How teams like Allied Blenders &amp; Distillers Ltd. start with AI on ERP</t>
        </is>
      </c>
      <c r="Y160" s="3" t="inlineStr">
        <is>
          <t>Hi Mukund,
Following up on my last note. The pattern that works in food production:
pick one painful, well-bounded problem — for most teams that's batch-to-batch yield swings and manual quality paperwork — and put a
narrow AI layer on the ERP data you already have.
What that looks like in practice:
- Week 1: connect read-only to the ERP, baseline the problem with your data
- Week 2-3: pilot yield prediction and QC anomaly detection fed by your ERP batch data
- Then: keep it only if the numbers justify it
No new platform, no long IT project. Would a 15-minute walkthrough this week or
next work? {{CALENDLY_URL}}
Best,
{{SENDER_NAME}}</t>
        </is>
      </c>
      <c r="Z160" t="inlineStr">
        <is>
          <t>Should I stay or should I go, Mukund?</t>
        </is>
      </c>
      <c r="AA160" s="3" t="inlineStr">
        <is>
          <t>Hi Mukund,
I'll close the loop here — inbox zero is sacred.
If batch-to-batch yield swings and manual quality paperwork becomes a priority at Allied Blenders &amp; Distillers Ltd. this year, we're a 15-minute
conversation away: {{CALENDLY_URL}}. If it's easier, I can also send a
one-page overview of yield prediction and QC anomaly detection fed by your ERP batch data that you can forward internally — just reply
"send it".
Either way, thanks for reading, and good luck this quarter.
Best,
{{SENDER_NAME}}
(Reply "unsubscribe" and you won't hear from me again.)</t>
        </is>
      </c>
      <c r="AB160" t="inlineStr">
        <is>
          <t>Draft</t>
        </is>
      </c>
      <c r="AC160" t="n">
        <v>0</v>
      </c>
      <c r="AD160" t="inlineStr"/>
      <c r="AE160" t="inlineStr"/>
      <c r="AF160" t="inlineStr"/>
    </row>
    <row r="161">
      <c r="A161" t="inlineStr">
        <is>
          <t>Ankit</t>
        </is>
      </c>
      <c r="B161" t="inlineStr">
        <is>
          <t>Dube</t>
        </is>
      </c>
      <c r="C161" t="inlineStr">
        <is>
          <t>AVP &amp; Head - Audit Compliance &amp; Fire Safety Management FM HSE &amp; Sustainability</t>
        </is>
      </c>
      <c r="D161" t="inlineStr">
        <is>
          <t>Reliance Retail</t>
        </is>
      </c>
      <c r="E161" t="inlineStr">
        <is>
          <t>ankit.dube@ril.com</t>
        </is>
      </c>
      <c r="F161" t="n">
        <v>246000</v>
      </c>
      <c r="G161" t="inlineStr">
        <is>
          <t>retail</t>
        </is>
      </c>
      <c r="H161" t="inlineStr">
        <is>
          <t>http://www.linkedin.com/in/ankit-dube-b3158735</t>
        </is>
      </c>
      <c r="I161" t="inlineStr">
        <is>
          <t>https://relianceretail.com</t>
        </is>
      </c>
      <c r="J161" t="inlineStr">
        <is>
          <t>Mumbai</t>
        </is>
      </c>
      <c r="K161" t="inlineStr">
        <is>
          <t>Maharashtra</t>
        </is>
      </c>
      <c r="L161" t="inlineStr">
        <is>
          <t>India</t>
        </is>
      </c>
      <c r="M161" t="n">
        <v>3864000000</v>
      </c>
      <c r="N161" s="5" t="n">
        <v>71</v>
      </c>
      <c r="O161" s="5" t="inlineStr">
        <is>
          <t>C - Nurture</t>
        </is>
      </c>
      <c r="P161" t="inlineStr">
        <is>
          <t>Tier 2 - VP</t>
        </is>
      </c>
      <c r="Q161" t="inlineStr">
        <is>
          <t>VP / Support function</t>
        </is>
      </c>
      <c r="R161" t="inlineStr"/>
      <c r="S161" s="3" t="inlineStr">
        <is>
          <t>Hi Ankit, your work as AVP &amp; Head - Audit Compliance &amp; Fire Safety Management FM HSE &amp; Sustainability at Reliance Retail caught my eye. We build small AI use cases that sit on top of existing ERPs — think getting the repetitive ERP grunt work off your team's plate. Would be glad to connect.</t>
        </is>
      </c>
      <c r="T161" s="3" t="inlineStr">
        <is>
          <t>Thanks for connecting, Ankit. Quick context: we ship SKU-level demand forecasting and auto-replenishment on top of your ERP. Teams typically start with one narrow use case and see results in weeks, not an ERP-project timeline. Worth a short look for Reliance Retail?</t>
        </is>
      </c>
      <c r="U161" s="3" t="inlineStr">
        <is>
          <t>Ankit, closing the loop so I'm not another unread ping. If it's useful, I can send a one-pager on SKU-level demand forecasting and auto-replenishment on top of your ERP for Reliance Retail — zero meetings needed. Just say the word.</t>
        </is>
      </c>
      <c r="V161" t="inlineStr">
        <is>
          <t>AI on top of Reliance Retail's ERP — one small use case</t>
        </is>
      </c>
      <c r="W161" s="3" t="inlineStr">
        <is>
          <t>Hi Ankit,
As AVP &amp; Head - Audit Compliance &amp; Fire Safety Management FM HSE &amp; Sustainability at Reliance Retail, you likely see stockouts and excess inventory that the ERP reports only after the fact more closely than anyone.
We build AI solutions that plug into your existing ERP for small, high-impact use cases across retail ecosystems — starting with SKU-level demand forecasting and auto-replenishment on top of your ERP. No rip-and-replace: it reads
from and writes back to the ERP you already run, and one contained use case is
usually live in weeks.
For someone in your seat, the payoff is getting the repetitive ERP grunt work off your team's plate.
Open to a 15-minute call to see if there's a fit for Reliance Retail?
Best,
{{SENDER_NAME}}
{{SENDER_EMAIL}} | Book directly: {{CALENDLY_URL}}
P.S. If this isn't relevant, reply "no thanks" and I won't follow up again.</t>
        </is>
      </c>
      <c r="X161" t="inlineStr">
        <is>
          <t>How teams like Reliance Retail start with AI on ERP</t>
        </is>
      </c>
      <c r="Y161" s="3" t="inlineStr">
        <is>
          <t>Hi Ankit,
Following up on my last note. The pattern that works in retail:
pick one painful, well-bounded problem — for most teams that's stockouts and excess inventory that the ERP reports only after the fact — and put a
narrow AI layer on the ERP data you already have.
What that looks like in practice:
- Week 1: connect read-only to the ERP, baseline the problem with your data
- Week 2-3: pilot SKU-level demand forecasting and auto-replenishment on top of your ERP
- Then: keep it only if the numbers justify it
No new platform, no long IT project. Would a 15-minute walkthrough this week or
next work? {{CALENDLY_URL}}
Best,
{{SENDER_NAME}}</t>
        </is>
      </c>
      <c r="Z161" t="inlineStr">
        <is>
          <t>Should I stay or should I go, Ankit?</t>
        </is>
      </c>
      <c r="AA161" s="3" t="inlineStr">
        <is>
          <t>Hi Ankit,
I'll close the loop here — inbox zero is sacred.
If stockouts and excess inventory that the ERP reports only after the fact becomes a priority at Reliance Retail this year, we're a 15-minute
conversation away: {{CALENDLY_URL}}. If it's easier, I can also send a
one-page overview of SKU-level demand forecasting and auto-replenishment on top of your ERP that you can forward internally — just reply
"send it".
Either way, thanks for reading, and good luck this quarter.
Best,
{{SENDER_NAME}}
(Reply "unsubscribe" and you won't hear from me again.)</t>
        </is>
      </c>
      <c r="AB161" t="inlineStr">
        <is>
          <t>Draft</t>
        </is>
      </c>
      <c r="AC161" t="n">
        <v>0</v>
      </c>
      <c r="AD161" t="inlineStr"/>
      <c r="AE161" t="inlineStr"/>
      <c r="AF161" t="inlineStr"/>
    </row>
    <row r="162">
      <c r="A162" t="inlineStr">
        <is>
          <t>Himanshu</t>
        </is>
      </c>
      <c r="B162" t="inlineStr">
        <is>
          <t>Khanna</t>
        </is>
      </c>
      <c r="C162" t="inlineStr">
        <is>
          <t>Chief Marketing Officer</t>
        </is>
      </c>
      <c r="D162" t="inlineStr">
        <is>
          <t>Raymond Limited</t>
        </is>
      </c>
      <c r="E162" t="inlineStr">
        <is>
          <t>himanshu.khanna@raymond.in</t>
        </is>
      </c>
      <c r="F162" t="n">
        <v>6800</v>
      </c>
      <c r="G162" t="inlineStr">
        <is>
          <t>textiles</t>
        </is>
      </c>
      <c r="H162" t="inlineStr">
        <is>
          <t>http://www.linkedin.com/in/himanshu-khanna-518616</t>
        </is>
      </c>
      <c r="I162" t="inlineStr">
        <is>
          <t>https://raymond.in</t>
        </is>
      </c>
      <c r="J162" t="inlineStr">
        <is>
          <t>Mumbai</t>
        </is>
      </c>
      <c r="K162" t="inlineStr">
        <is>
          <t>Maharashtra</t>
        </is>
      </c>
      <c r="L162" t="inlineStr">
        <is>
          <t>India</t>
        </is>
      </c>
      <c r="M162" t="n">
        <v>413868000</v>
      </c>
      <c r="N162" s="5" t="n">
        <v>71</v>
      </c>
      <c r="O162" s="5" t="inlineStr">
        <is>
          <t>C - Nurture</t>
        </is>
      </c>
      <c r="P162" t="inlineStr">
        <is>
          <t>Tier 2 - VP</t>
        </is>
      </c>
      <c r="Q162" t="inlineStr">
        <is>
          <t>VP / Sales/Marketing</t>
        </is>
      </c>
      <c r="R162" t="inlineStr"/>
      <c r="S162" s="3" t="inlineStr">
        <is>
          <t>Hi Himanshu, I work with textiles leaders on measurable margin and working-capital gains within a quarter — lightweight AI that plugs into the ERP you already run. Given your seat at Raymond Limited, thought it was worth connecting.</t>
        </is>
      </c>
      <c r="T162" s="3" t="inlineStr">
        <is>
          <t>Glad to be connected, Himanshu. Most textiles teams we meet struggle with delivery-date slippage and yarn/greige inventory pile-ups. We fix exactly that with production scheduling and order-to-dispatch tracking layered on your ERP. Open to a 15-minute walkthrough?</t>
        </is>
      </c>
      <c r="U162" s="3" t="inlineStr">
        <is>
          <t>Himanshu, I'll leave this here rather than keep nudging — if delivery-date slippage and yarn/greige inventory pile-ups ever climbs the priority list at Raymond Limited, a 15-minute call is all it takes to see if there's a fit. Either way, good luck this quarter.</t>
        </is>
      </c>
      <c r="V162" t="inlineStr">
        <is>
          <t>Delivery-date slippage at Raymond Limited?</t>
        </is>
      </c>
      <c r="W162" s="3" t="inlineStr">
        <is>
          <t>Hi Himanshu,
As Chief Marketing Officer at Raymond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Raymond Limited?
Best,
{{SENDER_NAME}}
{{SENDER_EMAIL}} | Book directly: {{CALENDLY_URL}}
P.S. If this isn't relevant, reply "no thanks" and I won't follow up again.</t>
        </is>
      </c>
      <c r="X162" t="inlineStr">
        <is>
          <t>Himanshu — the 3-week pilot version</t>
        </is>
      </c>
      <c r="Y162" s="3" t="inlineStr">
        <is>
          <t>Hi Himanshu,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62" t="inlineStr">
        <is>
          <t>Should I stay or should I go, Himanshu?</t>
        </is>
      </c>
      <c r="AA162" s="3" t="inlineStr">
        <is>
          <t>Hi Himanshu,
I'll close the loop here — inbox zero is sacred.
If delivery-date slippage and yarn/greige inventory pile-ups becomes a priority at Raymond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62" t="inlineStr">
        <is>
          <t>Draft</t>
        </is>
      </c>
      <c r="AC162" t="n">
        <v>0</v>
      </c>
      <c r="AD162" t="inlineStr"/>
      <c r="AE162" t="inlineStr"/>
      <c r="AF162" t="inlineStr"/>
    </row>
    <row r="163">
      <c r="A163" t="inlineStr">
        <is>
          <t>Gravity</t>
        </is>
      </c>
      <c r="B163" t="inlineStr">
        <is>
          <t>Ceramic</t>
        </is>
      </c>
      <c r="C163" t="inlineStr">
        <is>
          <t>Chief Executive Officer</t>
        </is>
      </c>
      <c r="D163" t="inlineStr">
        <is>
          <t>GRAVITY Ceramics PVT LTD</t>
        </is>
      </c>
      <c r="E163" t="inlineStr">
        <is>
          <t>export@gravityceramic.com</t>
        </is>
      </c>
      <c r="F163" t="n">
        <v>7</v>
      </c>
      <c r="G163" t="inlineStr">
        <is>
          <t>textiles</t>
        </is>
      </c>
      <c r="H163" t="inlineStr">
        <is>
          <t>http://www.linkedin.com/in/gravity-ceramic-a5b98b1a7</t>
        </is>
      </c>
      <c r="I163" t="inlineStr">
        <is>
          <t>https://gravityceramic.com</t>
        </is>
      </c>
      <c r="J163" t="inlineStr"/>
      <c r="K163" t="inlineStr">
        <is>
          <t>Gujarat</t>
        </is>
      </c>
      <c r="L163" t="inlineStr">
        <is>
          <t>India</t>
        </is>
      </c>
      <c r="M163" t="n">
        <v>34881000</v>
      </c>
      <c r="N163" s="5" t="n">
        <v>71</v>
      </c>
      <c r="O163" s="5" t="inlineStr">
        <is>
          <t>C - Nurture</t>
        </is>
      </c>
      <c r="P163" t="inlineStr">
        <is>
          <t>Tier 1 - C-Suite/Founder</t>
        </is>
      </c>
      <c r="Q163" t="inlineStr">
        <is>
          <t>C-Suite/Founder / General</t>
        </is>
      </c>
      <c r="R163" t="inlineStr"/>
      <c r="S163" s="3" t="inlineStr">
        <is>
          <t>Hi Gravity, your work as Chief Executive Officer at GRAVITY Ceramics PVT LTD caught my eye. We build small AI use cases that sit on top of existing ERPs — think measurable margin and working-capital gains within a quarter. Would be glad to connect.</t>
        </is>
      </c>
      <c r="T163" s="3" t="inlineStr">
        <is>
          <t>Glad to be connected, Gravity. Most textiles teams we meet struggle with delivery-date slippage and yarn/greige inventory pile-ups. We fix exactly that with production scheduling and order-to-dispatch tracking layered on your ERP. Open to a 15-minute walkthrough?</t>
        </is>
      </c>
      <c r="U163" s="3" t="inlineStr">
        <is>
          <t>Last note from me, Gravity — timing is everything with these projects. If an AI-on-ERP pilot becomes relevant at GRAVITY Ceramics PVT LTD later, my line's open. Wishing you a strong quarter.</t>
        </is>
      </c>
      <c r="V163" t="inlineStr">
        <is>
          <t>Gravity, a faster fix for delivery-date slippage</t>
        </is>
      </c>
      <c r="W163" s="3" t="inlineStr">
        <is>
          <t>Hi Gravity,
As Chief Executive Officer at GRAVITY Ceramics PVT LTD,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GRAVITY Ceramics PVT LTD?
Best,
{{SENDER_NAME}}
{{SENDER_EMAIL}} | Book directly: {{CALENDLY_URL}}
P.S. If this isn't relevant, reply "no thanks" and I won't follow up again.</t>
        </is>
      </c>
      <c r="X163" t="inlineStr">
        <is>
          <t>How teams like GRAVITY Ceramics PVT LTD start with AI on ERP</t>
        </is>
      </c>
      <c r="Y163" s="3" t="inlineStr">
        <is>
          <t>Hi Gravity,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63" t="inlineStr">
        <is>
          <t>Closing the loop, Gravity</t>
        </is>
      </c>
      <c r="AA163" s="3" t="inlineStr">
        <is>
          <t>Hi Gravity,
I'll close the loop here — inbox zero is sacred.
If delivery-date slippage and yarn/greige inventory pile-ups becomes a priority at GRAVITY Ceramics PVT LTD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63" t="inlineStr">
        <is>
          <t>Draft</t>
        </is>
      </c>
      <c r="AC163" t="n">
        <v>0</v>
      </c>
      <c r="AD163" t="inlineStr"/>
      <c r="AE163" t="inlineStr"/>
      <c r="AF163" t="inlineStr"/>
    </row>
    <row r="164">
      <c r="A164" t="inlineStr">
        <is>
          <t>Govind</t>
        </is>
      </c>
      <c r="B164" t="inlineStr">
        <is>
          <t>Kakra</t>
        </is>
      </c>
      <c r="C164" t="inlineStr">
        <is>
          <t>Vice President Finance</t>
        </is>
      </c>
      <c r="D164" t="inlineStr">
        <is>
          <t>Grasim Industries Limited \</t>
        </is>
      </c>
      <c r="E164" t="inlineStr">
        <is>
          <t>Pulp &amp; Fibre</t>
        </is>
      </c>
      <c r="G164" t="inlineStr"/>
      <c r="H164" t="inlineStr">
        <is>
          <t>textiles</t>
        </is>
      </c>
      <c r="I164" t="inlineStr">
        <is>
          <t>http://www.linkedin.com/in/govind-kakra-77330527</t>
        </is>
      </c>
      <c r="J164" t="inlineStr">
        <is>
          <t>http://www.linkedin.com/company/grasim-industries-limited</t>
        </is>
      </c>
      <c r="K164" t="inlineStr">
        <is>
          <t>Nagda</t>
        </is>
      </c>
      <c r="L164" t="inlineStr">
        <is>
          <t>Madhya Pradesh</t>
        </is>
      </c>
      <c r="N164" s="5" t="n">
        <v>66</v>
      </c>
      <c r="O164" s="5" t="inlineStr">
        <is>
          <t>C - Nurture</t>
        </is>
      </c>
      <c r="P164" t="inlineStr">
        <is>
          <t>Tier 1 - C-Suite/Founder</t>
        </is>
      </c>
      <c r="Q164" t="inlineStr">
        <is>
          <t>C-Suite/Founder / Ops/Tech/Finance/Commercial</t>
        </is>
      </c>
      <c r="R164" t="inlineStr"/>
      <c r="S164" s="3" t="inlineStr">
        <is>
          <t>Hi Govind, we help teams like Grasim Industries Limited \'s tackle manual reconciliation work your ERP wasn't built to remove with AI add-ons to their existing ERP — no replatforming. Keen to connect and swap notes.</t>
        </is>
      </c>
      <c r="T164" s="3" t="inlineStr">
        <is>
          <t>Thanks for connecting, Govind. Quick context: we ship AI add-ons for your ERP — invoice matching, PO automation, demand forecasting. Teams typically start with one narrow use case and see results in weeks, not an ERP-project timeline. Worth a short look for Grasim Industries Limited \?</t>
        </is>
      </c>
      <c r="U164" s="3" t="inlineStr">
        <is>
          <t>Govind, closing the loop so I'm not another unread ping. If it's useful, I can send a one-pager on AI add-ons for your ERP — invoice matching, PO automation, demand forecasting for Grasim Industries Limited \ — zero meetings needed. Just say the word.</t>
        </is>
      </c>
      <c r="V164" t="inlineStr">
        <is>
          <t>Manual reconciliation work your erp wasn't built to remove at Grasim Industries Limited \?</t>
        </is>
      </c>
      <c r="W164" s="3" t="inlineStr">
        <is>
          <t>Hi Govind,
As Vice President Finance at Grasim Industries Limited \, you likely see manual reconciliation work your ERP wasn't built to remove more closely than anyone.
We build AI solutions that plug into your existing ERP for small, high-impact use cases across retail ecosystems — starting with AI add-ons for your ERP — invoice matching, PO automation, demand forecasting.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Grasim Industries Limited \?
Best,
{{SENDER_NAME}}
{{SENDER_EMAIL}} | Book directly: {{CALENDLY_URL}}
P.S. If this isn't relevant, reply "no thanks" and I won't follow up again.</t>
        </is>
      </c>
      <c r="X164" t="inlineStr">
        <is>
          <t>Govind — the 3-week pilot version</t>
        </is>
      </c>
      <c r="Y164" s="3" t="inlineStr">
        <is>
          <t>Hi Govind,
Following up on my last note. The pattern that works in retail:
pick one painful, well-bounded problem — for most teams that's manual reconciliation work your ERP wasn't built to remove — and put a
narrow AI layer on the ERP data you already have.
What that looks like in practice:
- Week 1: connect read-only to the ERP, baseline the problem with your data
- Week 2-3: pilot AI add-ons for your ERP — invoice matching, PO automation, demand forecasting
- Then: keep it only if the numbers justify it
No new platform, no long IT project. Would a 15-minute walkthrough this week or
next work? {{CALENDLY_URL}}
Best,
{{SENDER_NAME}}</t>
        </is>
      </c>
      <c r="Z164" t="inlineStr">
        <is>
          <t>Closing the loop, Govind</t>
        </is>
      </c>
      <c r="AA164" s="3" t="inlineStr">
        <is>
          <t>Hi Govind,
I'll close the loop here — inbox zero is sacred.
If manual reconciliation work your ERP wasn't built to remove becomes a priority at Grasim Industries Limited \ this year, we're a 15-minute
conversation away: {{CALENDLY_URL}}. If it's easier, I can also send a
one-page overview of AI add-ons for your ERP — invoice matching, PO automation, demand forecasting that you can forward internally — just reply
"send it".
Either way, thanks for reading, and good luck this quarter.
Best,
{{SENDER_NAME}}
(Reply "unsubscribe" and you won't hear from me again.)</t>
        </is>
      </c>
      <c r="AB164" t="inlineStr">
        <is>
          <t>Draft</t>
        </is>
      </c>
      <c r="AC164" t="n">
        <v>0</v>
      </c>
      <c r="AD164" t="inlineStr"/>
      <c r="AE164" t="inlineStr"/>
      <c r="AF164" t="inlineStr"/>
    </row>
    <row r="165">
      <c r="A165" t="inlineStr">
        <is>
          <t>Umesh</t>
        </is>
      </c>
      <c r="B165" t="inlineStr">
        <is>
          <t>Gupta</t>
        </is>
      </c>
      <c r="C165" t="inlineStr">
        <is>
          <t>Vice President Finance</t>
        </is>
      </c>
      <c r="D165" t="inlineStr">
        <is>
          <t>Grasim Industries Limited \</t>
        </is>
      </c>
      <c r="E165" t="inlineStr">
        <is>
          <t>Pulp &amp; Fibre</t>
        </is>
      </c>
      <c r="G165" t="inlineStr"/>
      <c r="H165" t="inlineStr">
        <is>
          <t>textiles</t>
        </is>
      </c>
      <c r="I165" t="inlineStr">
        <is>
          <t>http://www.linkedin.com/in/umesh-gupta-4b371730</t>
        </is>
      </c>
      <c r="J165" t="inlineStr">
        <is>
          <t>http://www.linkedin.com/company/grasim-industries-limited</t>
        </is>
      </c>
      <c r="K165" t="inlineStr">
        <is>
          <t>Mumbai</t>
        </is>
      </c>
      <c r="L165" t="inlineStr">
        <is>
          <t>Maharashtra</t>
        </is>
      </c>
      <c r="N165" s="5" t="n">
        <v>66</v>
      </c>
      <c r="O165" s="5" t="inlineStr">
        <is>
          <t>C - Nurture</t>
        </is>
      </c>
      <c r="P165" t="inlineStr">
        <is>
          <t>Tier 1 - C-Suite/Founder</t>
        </is>
      </c>
      <c r="Q165" t="inlineStr">
        <is>
          <t>C-Suite/Founder / Ops/Tech/Finance/Commercial</t>
        </is>
      </c>
      <c r="R165" t="inlineStr"/>
      <c r="S165" s="3" t="inlineStr">
        <is>
          <t>Hi Umesh, we help teams like Grasim Industries Limited \'s tackle manual reconciliation work your ERP wasn't built to remove with AI add-ons to their existing ERP — no replatforming. Keen to connect and swap notes.</t>
        </is>
      </c>
      <c r="T165" s="3" t="inlineStr">
        <is>
          <t>Appreciate the connect, Umesh. One idea for Grasim Industries Limited \: AI add-ons for your ERP — invoice matching, PO automation, demand forecasting. It runs alongside your current ERP, so there's no migration risk — just one contained pilot. Happy to share how similar teams structure it.</t>
        </is>
      </c>
      <c r="U165" s="3" t="inlineStr">
        <is>
          <t>Umesh, I'll leave this here rather than keep nudging — if manual reconciliation work your ERP wasn't built to remove ever climbs the priority list at Grasim Industries Limited \, a 15-minute call is all it takes to see if there's a fit. Either way, good luck this quarter.</t>
        </is>
      </c>
      <c r="V165" t="inlineStr">
        <is>
          <t>Umesh, a faster fix for manual reconciliation work your ERP wasn't built to remove</t>
        </is>
      </c>
      <c r="W165" s="3" t="inlineStr">
        <is>
          <t>Hi Umesh,
As Vice President Finance at Grasim Industries Limited \, you likely see manual reconciliation work your ERP wasn't built to remove more closely than anyone.
We build AI solutions that plug into your existing ERP for small, high-impact use cases across retail ecosystems — starting with AI add-ons for your ERP — invoice matching, PO automation, demand forecasting.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Grasim Industries Limited \?
Best,
{{SENDER_NAME}}
{{SENDER_EMAIL}} | Book directly: {{CALENDLY_URL}}
P.S. If this isn't relevant, reply "no thanks" and I won't follow up again.</t>
        </is>
      </c>
      <c r="X165" t="inlineStr">
        <is>
          <t>Re: one small AI use case for Grasim Industries Limited \</t>
        </is>
      </c>
      <c r="Y165" s="3" t="inlineStr">
        <is>
          <t>Hi Umesh,
Following up on my last note. The pattern that works in retail:
pick one painful, well-bounded problem — for most teams that's manual reconciliation work your ERP wasn't built to remove — and put a
narrow AI layer on the ERP data you already have.
What that looks like in practice:
- Week 1: connect read-only to the ERP, baseline the problem with your data
- Week 2-3: pilot AI add-ons for your ERP — invoice matching, PO automation, demand forecasting
- Then: keep it only if the numbers justify it
No new platform, no long IT project. Would a 15-minute walkthrough this week or
next work? {{CALENDLY_URL}}
Best,
{{SENDER_NAME}}</t>
        </is>
      </c>
      <c r="Z165" t="inlineStr">
        <is>
          <t>Closing the loop, Umesh</t>
        </is>
      </c>
      <c r="AA165" s="3" t="inlineStr">
        <is>
          <t>Hi Umesh,
I'll close the loop here — inbox zero is sacred.
If manual reconciliation work your ERP wasn't built to remove becomes a priority at Grasim Industries Limited \ this year, we're a 15-minute
conversation away: {{CALENDLY_URL}}. If it's easier, I can also send a
one-page overview of AI add-ons for your ERP — invoice matching, PO automation, demand forecasting that you can forward internally — just reply
"send it".
Either way, thanks for reading, and good luck this quarter.
Best,
{{SENDER_NAME}}
(Reply "unsubscribe" and you won't hear from me again.)</t>
        </is>
      </c>
      <c r="AB165" t="inlineStr">
        <is>
          <t>Draft</t>
        </is>
      </c>
      <c r="AC165" t="n">
        <v>0</v>
      </c>
      <c r="AD165" t="inlineStr"/>
      <c r="AE165" t="inlineStr"/>
      <c r="AF165" t="inlineStr"/>
    </row>
    <row r="166">
      <c r="A166" t="inlineStr">
        <is>
          <t>Vikas</t>
        </is>
      </c>
      <c r="B166" t="inlineStr">
        <is>
          <t>Jain</t>
        </is>
      </c>
      <c r="C166" t="inlineStr">
        <is>
          <t>Chief Sales Officer</t>
        </is>
      </c>
      <c r="D166" t="inlineStr">
        <is>
          <t>Ginza Industries Limited</t>
        </is>
      </c>
      <c r="E166" t="inlineStr">
        <is>
          <t>vikas.jain@ginzalimited.com</t>
        </is>
      </c>
      <c r="F166" t="n">
        <v>290</v>
      </c>
      <c r="G166" t="inlineStr">
        <is>
          <t>textiles</t>
        </is>
      </c>
      <c r="H166" t="inlineStr">
        <is>
          <t>http://www.linkedin.com/in/vikas-jain-7765727</t>
        </is>
      </c>
      <c r="I166" t="inlineStr">
        <is>
          <t>https://ginzalimited.com</t>
        </is>
      </c>
      <c r="J166" t="inlineStr">
        <is>
          <t>Surat</t>
        </is>
      </c>
      <c r="K166" t="inlineStr">
        <is>
          <t>Gujarat</t>
        </is>
      </c>
      <c r="L166" t="inlineStr">
        <is>
          <t>India</t>
        </is>
      </c>
      <c r="M166" t="n">
        <v>47000000</v>
      </c>
      <c r="N166" s="5" t="n">
        <v>66</v>
      </c>
      <c r="O166" s="5" t="inlineStr">
        <is>
          <t>C - Nurture</t>
        </is>
      </c>
      <c r="P166" t="inlineStr">
        <is>
          <t>Tier 2 - VP</t>
        </is>
      </c>
      <c r="Q166" t="inlineStr">
        <is>
          <t>VP / Sales/Marketing</t>
        </is>
      </c>
      <c r="R166" t="inlineStr"/>
      <c r="S166" s="3" t="inlineStr">
        <is>
          <t>Hi Vikas, I work with textiles leaders on measurable margin and working-capital gains within a quarter — lightweight AI that plugs into the ERP you already run. Given your seat at Ginza Industries Limited, thought it was worth connecting.</t>
        </is>
      </c>
      <c r="T166" s="3" t="inlineStr">
        <is>
          <t>Appreciate the connect, Vikas. One idea for Ginza Industries Limited: production scheduling and order-to-dispatch tracking layered on your ERP. It runs alongside your current ERP, so there's no migration risk — just one contained pilot. Happy to share how similar teams structure it.</t>
        </is>
      </c>
      <c r="U166" s="3" t="inlineStr">
        <is>
          <t>Vikas, I'll leave this here rather than keep nudging — if delivery-date slippage and yarn/greige inventory pile-ups ever climbs the priority list at Ginza Industries Limited, a 15-minute call is all it takes to see if there's a fit. Either way, good luck this quarter.</t>
        </is>
      </c>
      <c r="V166" t="inlineStr">
        <is>
          <t>Vikas, a faster fix for delivery-date slippage</t>
        </is>
      </c>
      <c r="W166" s="3" t="inlineStr">
        <is>
          <t>Hi Vikas,
As Chief Sales Officer at Ginza Industries Limited, you likely see delivery-date slippage and yarn/greige inventory pile-ups more closely than anyone.
We build AI solutions that plug into your existing ERP for small, high-impact use cases across retail ecosystems — starting with production scheduling and order-to-dispatch tracking layered on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Ginza Industries Limited?
Best,
{{SENDER_NAME}}
{{SENDER_EMAIL}} | Book directly: {{CALENDLY_URL}}
P.S. If this isn't relevant, reply "no thanks" and I won't follow up again.</t>
        </is>
      </c>
      <c r="X166" t="inlineStr">
        <is>
          <t>Re: one small AI use case for Ginza Industries Limited</t>
        </is>
      </c>
      <c r="Y166" s="3" t="inlineStr">
        <is>
          <t>Hi Vikas,
Following up on my last note. The pattern that works in textiles:
pick one painful, well-bounded problem — for most teams that's delivery-date slippage and yarn/greige inventory pile-ups — and put a
narrow AI layer on the ERP data you already have.
What that looks like in practice:
- Week 1: connect read-only to the ERP, baseline the problem with your data
- Week 2-3: pilot production scheduling and order-to-dispatch tracking layered on your ERP
- Then: keep it only if the numbers justify it
No new platform, no long IT project. Would a 15-minute walkthrough this week or
next work? {{CALENDLY_URL}}
Best,
{{SENDER_NAME}}</t>
        </is>
      </c>
      <c r="Z166" t="inlineStr">
        <is>
          <t>Should I stay or should I go, Vikas?</t>
        </is>
      </c>
      <c r="AA166" s="3" t="inlineStr">
        <is>
          <t>Hi Vikas,
I'll close the loop here — inbox zero is sacred.
If delivery-date slippage and yarn/greige inventory pile-ups becomes a priority at Ginza Industries Limited this year, we're a 15-minute
conversation away: {{CALENDLY_URL}}. If it's easier, I can also send a
one-page overview of production scheduling and order-to-dispatch tracking layered on your ERP that you can forward internally — just reply
"send it".
Either way, thanks for reading, and good luck this quarter.
Best,
{{SENDER_NAME}}
(Reply "unsubscribe" and you won't hear from me again.)</t>
        </is>
      </c>
      <c r="AB166" t="inlineStr">
        <is>
          <t>Draft</t>
        </is>
      </c>
      <c r="AC166" t="n">
        <v>0</v>
      </c>
      <c r="AD166" t="inlineStr"/>
      <c r="AE166" t="inlineStr"/>
      <c r="AF166" t="inlineStr"/>
    </row>
    <row r="167">
      <c r="A167" t="inlineStr">
        <is>
          <t>Aline</t>
        </is>
      </c>
      <c r="B167" t="inlineStr">
        <is>
          <t>Bassitche-Etomba</t>
        </is>
      </c>
      <c r="C167" t="inlineStr">
        <is>
          <t>CFO West \&amp;Central Africa \</t>
        </is>
      </c>
      <c r="D167" t="inlineStr">
        <is>
          <t>Board Member \</t>
        </is>
      </c>
      <c r="E167" t="inlineStr">
        <is>
          <t>UPL - Based in Ivory Coast (Abidjan)</t>
        </is>
      </c>
      <c r="G167" t="inlineStr"/>
      <c r="H167" t="inlineStr">
        <is>
          <t>12000</t>
        </is>
      </c>
      <c r="I167" t="inlineStr">
        <is>
          <t>farming</t>
        </is>
      </c>
      <c r="J167" t="inlineStr">
        <is>
          <t>https://upl-ltd.com</t>
        </is>
      </c>
      <c r="K167" t="inlineStr">
        <is>
          <t>http://www.linkedin.com/company/upl-ltd</t>
        </is>
      </c>
      <c r="L167" t="inlineStr"/>
      <c r="N167" s="5" t="n">
        <v>64</v>
      </c>
      <c r="O167" s="5" t="inlineStr">
        <is>
          <t>C - Nurture</t>
        </is>
      </c>
      <c r="P167" t="inlineStr">
        <is>
          <t>Tier 1 - C-Suite/Founder</t>
        </is>
      </c>
      <c r="Q167" t="inlineStr">
        <is>
          <t>C-Suite/Founder / General management</t>
        </is>
      </c>
      <c r="R167" t="inlineStr"/>
      <c r="S167" s="3" t="inlineStr">
        <is>
          <t>Hi Aline, we help teams like Board Member \'s tackle manual reconciliation work your ERP wasn't built to remove with AI add-ons to their existing ERP — no replatforming. Keen to connect and swap notes.</t>
        </is>
      </c>
      <c r="T167" s="3" t="inlineStr">
        <is>
          <t>Glad to be connected, Aline. Most retail teams we meet struggle with manual reconciliation work your ERP wasn't built to remove. We fix exactly that with AI add-ons for your ERP — invoice matching, PO automation, demand forecasting. Open to a 15-minute walkthrough?</t>
        </is>
      </c>
      <c r="U167" s="3" t="inlineStr">
        <is>
          <t>Aline, closing the loop so I'm not another unread ping. If it's useful, I can send a one-pager on AI add-ons for your ERP — invoice matching, PO automation, demand forecasting for Board Member \ — zero meetings needed. Just say the word.</t>
        </is>
      </c>
      <c r="V167" t="inlineStr">
        <is>
          <t>Aline, a faster fix for manual reconciliation work your ERP wasn't built to remove</t>
        </is>
      </c>
      <c r="W167" s="3" t="inlineStr">
        <is>
          <t>Hi Aline,
As CFO West \&amp;Central Africa \ at Board Member \, you likely see manual reconciliation work your ERP wasn't built to remove more closely than anyone.
We build AI solutions that plug into your existing ERP for small, high-impact use cases across retail ecosystems — starting with AI add-ons for your ERP — invoice matching, PO automation, demand forecasting.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Board Member \?
Best,
{{SENDER_NAME}}
{{SENDER_EMAIL}} | Book directly: {{CALENDLY_URL}}
P.S. If this isn't relevant, reply "no thanks" and I won't follow up again.</t>
        </is>
      </c>
      <c r="X167" t="inlineStr">
        <is>
          <t>Re: one small AI use case for Board Member \</t>
        </is>
      </c>
      <c r="Y167" s="3" t="inlineStr">
        <is>
          <t>Hi Aline,
Following up on my last note. The pattern that works in retail:
pick one painful, well-bounded problem — for most teams that's manual reconciliation work your ERP wasn't built to remove — and put a
narrow AI layer on the ERP data you already have.
What that looks like in practice:
- Week 1: connect read-only to the ERP, baseline the problem with your data
- Week 2-3: pilot AI add-ons for your ERP — invoice matching, PO automation, demand forecasting
- Then: keep it only if the numbers justify it
No new platform, no long IT project. Would a 15-minute walkthrough this week or
next work? {{CALENDLY_URL}}
Best,
{{SENDER_NAME}}</t>
        </is>
      </c>
      <c r="Z167" t="inlineStr">
        <is>
          <t>Should I stay or should I go, Aline?</t>
        </is>
      </c>
      <c r="AA167" s="3" t="inlineStr">
        <is>
          <t>Hi Aline,
I'll close the loop here — inbox zero is sacred.
If manual reconciliation work your ERP wasn't built to remove becomes a priority at Board Member \ this year, we're a 15-minute
conversation away: {{CALENDLY_URL}}. If it's easier, I can also send a
one-page overview of AI add-ons for your ERP — invoice matching, PO automation, demand forecasting that you can forward internally — just reply
"send it".
Either way, thanks for reading, and good luck this quarter.
Best,
{{SENDER_NAME}}
(Reply "unsubscribe" and you won't hear from me again.)</t>
        </is>
      </c>
      <c r="AB167" t="inlineStr">
        <is>
          <t>Draft</t>
        </is>
      </c>
      <c r="AC167" t="n">
        <v>0</v>
      </c>
      <c r="AD167" t="inlineStr"/>
      <c r="AE167" t="inlineStr"/>
      <c r="AF167" t="inlineStr"/>
    </row>
    <row r="168">
      <c r="A168" t="inlineStr">
        <is>
          <t>Andrew</t>
        </is>
      </c>
      <c r="B168" t="inlineStr">
        <is>
          <t>Plimmer</t>
        </is>
      </c>
      <c r="C168" t="inlineStr">
        <is>
          <t>Production Director</t>
        </is>
      </c>
      <c r="D168" t="inlineStr">
        <is>
          <t>Panelpro</t>
        </is>
      </c>
      <c r="E168" t="inlineStr">
        <is>
          <t>andy@panelpro.co.uk</t>
        </is>
      </c>
      <c r="F168" t="n">
        <v>4</v>
      </c>
      <c r="G168" t="inlineStr">
        <is>
          <t>furniture</t>
        </is>
      </c>
      <c r="H168" t="inlineStr">
        <is>
          <t>http://www.linkedin.com/in/andrew-plimmer-37259050</t>
        </is>
      </c>
      <c r="I168" t="inlineStr">
        <is>
          <t>https://panelpro.co.uk</t>
        </is>
      </c>
      <c r="J168" t="inlineStr"/>
      <c r="K168" t="inlineStr"/>
      <c r="L168" t="inlineStr">
        <is>
          <t>United Kingdom</t>
        </is>
      </c>
      <c r="M168" t="n">
        <v>37812000</v>
      </c>
      <c r="N168" s="5" t="n">
        <v>64</v>
      </c>
      <c r="O168" s="5" t="inlineStr">
        <is>
          <t>C - Nurture</t>
        </is>
      </c>
      <c r="P168" t="inlineStr">
        <is>
          <t>Tier 3 - Director/Head</t>
        </is>
      </c>
      <c r="Q168" t="inlineStr">
        <is>
          <t>Director/Head / Ops/Tech/Finance/Commercial</t>
        </is>
      </c>
      <c r="R168" t="inlineStr"/>
      <c r="S168" s="3" t="inlineStr">
        <is>
          <t>Hi Andrew, we help teams like Panelpro's tackle quoted-vs-actual delivery gaps on custom orders with AI add-ons to their existing ERP — no replatforming. Keen to connect and swap notes.</t>
        </is>
      </c>
      <c r="T168" s="3" t="inlineStr">
        <is>
          <t>Glad to be connected, Andrew. Most furniture teams we meet struggle with quoted-vs-actual delivery gaps on custom orders. We fix exactly that with made-to-order lead-time prediction driven by your ERP order book. Open to a 15-minute walkthrough?</t>
        </is>
      </c>
      <c r="U168" s="3" t="inlineStr">
        <is>
          <t>Andrew, closing the loop so I'm not another unread ping. If it's useful, I can send a one-pager on made-to-order lead-time prediction driven by your ERP order book for Panelpro — zero meetings needed. Just say the word.</t>
        </is>
      </c>
      <c r="V168" t="inlineStr">
        <is>
          <t>Andrew, a faster fix for quoted-vs-actual delivery gaps on custom orders</t>
        </is>
      </c>
      <c r="W168" s="3" t="inlineStr">
        <is>
          <t>Hi Andrew,
As Production Director at Panelpro, you likely see quoted-vs-actual delivery gaps on custom orders more closely than anyone.
We build AI solutions that plug into your existing ERP for small, high-impact use cases across retail ecosystems — starting with made-to-order lead-time prediction driven by your ERP order book. No rip-and-replace: it reads
from and writes back to the ERP you already run, and one contained use case is
usually live in weeks.
For someone in your seat, the payoff is adding AI capability without any rip-and-replace of the current ERP.
Open to a 15-minute call to see if there's a fit for Panelpro?
Best,
{{SENDER_NAME}}
{{SENDER_EMAIL}} | Book directly: {{CALENDLY_URL}}
P.S. If this isn't relevant, reply "no thanks" and I won't follow up again.</t>
        </is>
      </c>
      <c r="X168" t="inlineStr">
        <is>
          <t>How teams like Panelpro start with AI on ERP</t>
        </is>
      </c>
      <c r="Y168" s="3" t="inlineStr">
        <is>
          <t>Hi Andrew,
Following up on my last note. The pattern that works in furniture:
pick one painful, well-bounded problem — for most teams that's quoted-vs-actual delivery gaps on custom orders — and put a
narrow AI layer on the ERP data you already have.
What that looks like in practice:
- Week 1: connect read-only to the ERP, baseline the problem with your data
- Week 2-3: pilot made-to-order lead-time prediction driven by your ERP order book
- Then: keep it only if the numbers justify it
No new platform, no long IT project. Would a 15-minute walkthrough this week or
next work? {{CALENDLY_URL}}
Best,
{{SENDER_NAME}}</t>
        </is>
      </c>
      <c r="Z168" t="inlineStr">
        <is>
          <t>Closing the loop, Andrew</t>
        </is>
      </c>
      <c r="AA168" s="3" t="inlineStr">
        <is>
          <t>Hi Andrew,
I'll close the loop here — inbox zero is sacred.
If quoted-vs-actual delivery gaps on custom orders becomes a priority at Panelpro this year, we're a 15-minute
conversation away: {{CALENDLY_URL}}. If it's easier, I can also send a
one-page overview of made-to-order lead-time prediction driven by your ERP order book that you can forward internally — just reply
"send it".
Either way, thanks for reading, and good luck this quarter.
Best,
{{SENDER_NAME}}
(Reply "unsubscribe" and you won't hear from me again.)</t>
        </is>
      </c>
      <c r="AB168" t="inlineStr">
        <is>
          <t>Draft</t>
        </is>
      </c>
      <c r="AC168" t="n">
        <v>0</v>
      </c>
      <c r="AD168" t="inlineStr"/>
      <c r="AE168" t="inlineStr"/>
      <c r="AF168" t="inlineStr"/>
    </row>
    <row r="169">
      <c r="A169" t="inlineStr">
        <is>
          <t>Jagdish</t>
        </is>
      </c>
      <c r="B169" t="inlineStr">
        <is>
          <t>Nainwal</t>
        </is>
      </c>
      <c r="C169" t="inlineStr">
        <is>
          <t>Global Chief Marketing Office (CMO) and Global Head of Natural Plant Protection (NPP) for UPL Corp.</t>
        </is>
      </c>
      <c r="D169" t="inlineStr">
        <is>
          <t>UPL</t>
        </is>
      </c>
      <c r="E169" t="inlineStr">
        <is>
          <t>jagdish.nainwal@upl-ltd.com</t>
        </is>
      </c>
      <c r="F169" t="n">
        <v>12000</v>
      </c>
      <c r="G169" t="inlineStr">
        <is>
          <t>farming</t>
        </is>
      </c>
      <c r="H169" t="inlineStr">
        <is>
          <t>http://www.linkedin.com/in/jagdish-nainwal-48382815</t>
        </is>
      </c>
      <c r="I169" t="inlineStr">
        <is>
          <t>https://upl-ltd.com</t>
        </is>
      </c>
      <c r="J169" t="inlineStr"/>
      <c r="K169" t="inlineStr"/>
      <c r="L169" t="inlineStr">
        <is>
          <t>Mexico</t>
        </is>
      </c>
      <c r="M169" t="n">
        <v>5508517000</v>
      </c>
      <c r="N169" s="5" t="n">
        <v>64</v>
      </c>
      <c r="O169" s="5" t="inlineStr">
        <is>
          <t>C - Nurture</t>
        </is>
      </c>
      <c r="P169" t="inlineStr">
        <is>
          <t>Tier 3 - Director/Head</t>
        </is>
      </c>
      <c r="Q169" t="inlineStr">
        <is>
          <t>Director/Head / Sales/Marketing</t>
        </is>
      </c>
      <c r="R169" t="inlineStr"/>
      <c r="S169" s="3" t="inlineStr">
        <is>
          <t>Hi Jagdish, we help teams like UPL's tackle volatile procurement prices and manual arrival planning with AI add-ons to their existing ERP — no replatforming. Keen to connect and swap notes.</t>
        </is>
      </c>
      <c r="T169" s="3" t="inlineStr">
        <is>
          <t>Thanks for connecting, Jagdish. Quick context: we ship procurement price forecasting and supply planning connected to your ERP. Teams typically start with one narrow use case and see results in weeks, not an ERP-project timeline. Worth a short look for UPL?</t>
        </is>
      </c>
      <c r="U169" s="3" t="inlineStr">
        <is>
          <t>Last note from me, Jagdish — timing is everything with these projects. If an AI-on-ERP pilot becomes relevant at UPL later, my line's open. Wishing you a strong quarter.</t>
        </is>
      </c>
      <c r="V169" t="inlineStr">
        <is>
          <t>AI on top of UPL's ERP — one small use case</t>
        </is>
      </c>
      <c r="W169" s="3" t="inlineStr">
        <is>
          <t>Hi Jagdish,
As Global Chief Marketing Office (CMO) and Global Head of Natural Plant Protection (NPP) for UPL Corp.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UPL?
Best,
{{SENDER_NAME}}
{{SENDER_EMAIL}} | Book directly: {{CALENDLY_URL}}
P.S. If this isn't relevant, reply "no thanks" and I won't follow up again.</t>
        </is>
      </c>
      <c r="X169" t="inlineStr">
        <is>
          <t>How teams like UPL start with AI on ERP</t>
        </is>
      </c>
      <c r="Y169" s="3" t="inlineStr">
        <is>
          <t>Hi Jagdish,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169" t="inlineStr">
        <is>
          <t>Closing the loop, Jagdish</t>
        </is>
      </c>
      <c r="AA169" s="3" t="inlineStr">
        <is>
          <t>Hi Jagdish,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169" t="inlineStr">
        <is>
          <t>Draft</t>
        </is>
      </c>
      <c r="AC169" t="n">
        <v>0</v>
      </c>
      <c r="AD169" t="inlineStr"/>
      <c r="AE169" t="inlineStr"/>
      <c r="AF169" t="inlineStr"/>
    </row>
    <row r="170">
      <c r="A170" t="inlineStr">
        <is>
          <t>Karan</t>
        </is>
      </c>
      <c r="B170" t="inlineStr">
        <is>
          <t>Wadhwa</t>
        </is>
      </c>
      <c r="C170" t="inlineStr">
        <is>
          <t>Finance Business Partner</t>
        </is>
      </c>
      <c r="D170" t="inlineStr">
        <is>
          <t>Arvind Limited</t>
        </is>
      </c>
      <c r="E170" t="inlineStr">
        <is>
          <t>karan.wadhwa@arvind.in</t>
        </is>
      </c>
      <c r="F170" t="n">
        <v>25000</v>
      </c>
      <c r="G170" t="inlineStr">
        <is>
          <t>apparel &amp; fashion</t>
        </is>
      </c>
      <c r="H170" t="inlineStr">
        <is>
          <t>http://www.linkedin.com/in/karan-wadhwa-619039227</t>
        </is>
      </c>
      <c r="I170" t="inlineStr">
        <is>
          <t>https://arvind.com</t>
        </is>
      </c>
      <c r="J170" t="inlineStr">
        <is>
          <t>Ahmedabad</t>
        </is>
      </c>
      <c r="K170" t="inlineStr">
        <is>
          <t>Gujarat</t>
        </is>
      </c>
      <c r="L170" t="inlineStr">
        <is>
          <t>India</t>
        </is>
      </c>
      <c r="M170" t="n">
        <v>984809000</v>
      </c>
      <c r="N170" s="5" t="n">
        <v>62</v>
      </c>
      <c r="O170" s="5" t="inlineStr">
        <is>
          <t>C - Nurture</t>
        </is>
      </c>
      <c r="P170" t="inlineStr">
        <is>
          <t>Non-ICP</t>
        </is>
      </c>
      <c r="Q170" t="inlineStr">
        <is>
          <t>Non-ICP / Ops/Tech/Finance/Commercial</t>
        </is>
      </c>
      <c r="R170" t="inlineStr"/>
      <c r="S170" s="3" t="inlineStr">
        <is>
          <t>Hi Karan, I work with apparel &amp; fashion leaders on recovering margin leakage and freeing working capital trapped in inventory — lightweight AI that plugs into the ERP you already run. Given your seat at Arvind Limited, thought it was worth connecting.</t>
        </is>
      </c>
      <c r="T170" s="3" t="inlineStr">
        <is>
          <t>Appreciate the connect, Karan. One idea for Arvind Limited: size-curve planning and season-buy optimization that reads straight from your ERP. It runs alongside your current ERP, so there's no migration risk — just one contained pilot. Happy to share how similar teams structure it.</t>
        </is>
      </c>
      <c r="U170" s="3" t="inlineStr">
        <is>
          <t>Karan, I'll leave this here rather than keep nudging — if broken size sets and end-of-season markdowns ever climbs the priority list at Arvind Limited, a 15-minute call is all it takes to see if there's a fit. Either way, good luck this quarter.</t>
        </is>
      </c>
      <c r="V170" t="inlineStr">
        <is>
          <t>Broken size sets at Arvind Limited?</t>
        </is>
      </c>
      <c r="W170" s="3" t="inlineStr">
        <is>
          <t>Hi Karan,
As Finance Business Partner at Arvind Limited,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recovering margin leakage and freeing working capital trapped in inventory.
Open to a 15-minute call to see if there's a fit for Arvind Limited?
Best,
{{SENDER_NAME}}
{{SENDER_EMAIL}} | Book directly: {{CALENDLY_URL}}
P.S. If this isn't relevant, reply "no thanks" and I won't follow up again.</t>
        </is>
      </c>
      <c r="X170" t="inlineStr">
        <is>
          <t>Re: one small AI use case for Arvind Limited</t>
        </is>
      </c>
      <c r="Y170" s="3" t="inlineStr">
        <is>
          <t>Hi Karan,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170" t="inlineStr">
        <is>
          <t>Closing the loop, Karan</t>
        </is>
      </c>
      <c r="AA170" s="3" t="inlineStr">
        <is>
          <t>Hi Karan,
I'll close the loop here — inbox zero is sacred.
If broken size sets and end-of-season markdowns becomes a priority at Arvind Limited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170" t="inlineStr">
        <is>
          <t>Draft</t>
        </is>
      </c>
      <c r="AC170" t="n">
        <v>0</v>
      </c>
      <c r="AD170" t="inlineStr"/>
      <c r="AE170" t="inlineStr"/>
      <c r="AF170" t="inlineStr"/>
    </row>
    <row r="171">
      <c r="A171" t="inlineStr">
        <is>
          <t>Valerie</t>
        </is>
      </c>
      <c r="B171" t="inlineStr">
        <is>
          <t>Miegeville</t>
        </is>
      </c>
      <c r="C171" t="inlineStr">
        <is>
          <t>Chief Buying &amp; Merchandising Officer</t>
        </is>
      </c>
      <c r="D171" t="inlineStr">
        <is>
          <t>Aditya Birla Fashion and Retail Ltd.</t>
        </is>
      </c>
      <c r="E171" t="inlineStr">
        <is>
          <t>valerie.miegeville@abfrl.adityabirla.com</t>
        </is>
      </c>
      <c r="F171" t="n">
        <v>27000</v>
      </c>
      <c r="G171" t="inlineStr">
        <is>
          <t>apparel &amp; fashion</t>
        </is>
      </c>
      <c r="H171" t="inlineStr">
        <is>
          <t>http://www.linkedin.com/in/valerie-miegeville-43861b8</t>
        </is>
      </c>
      <c r="I171" t="inlineStr">
        <is>
          <t>https://abfrl.com</t>
        </is>
      </c>
      <c r="J171" t="inlineStr">
        <is>
          <t>Mumbai</t>
        </is>
      </c>
      <c r="K171" t="inlineStr">
        <is>
          <t>Maharashtra</t>
        </is>
      </c>
      <c r="L171" t="inlineStr">
        <is>
          <t>India</t>
        </is>
      </c>
      <c r="M171" t="n">
        <v>1550313000</v>
      </c>
      <c r="N171" s="5" t="n">
        <v>62</v>
      </c>
      <c r="O171" s="5" t="inlineStr">
        <is>
          <t>C - Nurture</t>
        </is>
      </c>
      <c r="P171" t="inlineStr">
        <is>
          <t>Non-ICP</t>
        </is>
      </c>
      <c r="Q171" t="inlineStr">
        <is>
          <t>Non-ICP / Ops/Tech/Finance/Commercial</t>
        </is>
      </c>
      <c r="R171" t="inlineStr"/>
      <c r="S171" s="3" t="inlineStr">
        <is>
          <t>Hi Valerie, your work as Chief Buying &amp; Merchandising Officer at Aditya Birla Fashion and Retail Ltd. caught my eye. We build small AI use cases that sit on top of existing ERPs — think measurable margin and working-capital gains within a quarter. Would be glad to connect.</t>
        </is>
      </c>
      <c r="T171" s="3" t="inlineStr">
        <is>
          <t>Appreciate the connect, Valerie. One idea for Aditya Birla Fashion and Retail Ltd.: size-curve planning and season-buy optimization that reads straight from your ERP. It runs alongside your current ERP, so there's no migration risk — just one contained pilot. Happy to share how similar teams structure it.</t>
        </is>
      </c>
      <c r="U171" s="3" t="inlineStr">
        <is>
          <t>Last note from me, Valerie — timing is everything with these projects. If an AI-on-ERP pilot becomes relevant at Aditya Birla Fashion and Retail Ltd. later, my line's open. Wishing you a strong quarter.</t>
        </is>
      </c>
      <c r="V171" t="inlineStr">
        <is>
          <t>Broken size sets at Aditya Birla Fashion and Retail Ltd.?</t>
        </is>
      </c>
      <c r="W171" s="3" t="inlineStr">
        <is>
          <t>Hi Valerie,
As Chief Buying &amp; Merchandising Officer at Aditya Birla Fashion and Retail Ltd., you likely see broken size sets and end-of-season markdowns more closely than anyone.
We build AI solutions that plug into your existing ERP for small, high-impact use cases across retail ecosystems — starting with size-curve planning and season-buy optimization that reads straight from your ERP. No rip-and-replace: it reads
from and writes back to the ERP you already run, and one contained use case is
usually live in weeks.
For someone in your seat, the payoff is measurable margin and working-capital gains within a quarter.
Open to a 15-minute call to see if there's a fit for Aditya Birla Fashion and Retail Ltd.?
Best,
{{SENDER_NAME}}
{{SENDER_EMAIL}} | Book directly: {{CALENDLY_URL}}
P.S. If this isn't relevant, reply "no thanks" and I won't follow up again.</t>
        </is>
      </c>
      <c r="X171" t="inlineStr">
        <is>
          <t>Re: one small AI use case for Aditya Birla Fashion and Retail Ltd.</t>
        </is>
      </c>
      <c r="Y171" s="3" t="inlineStr">
        <is>
          <t>Hi Valerie,
Following up on my last note. The pattern that works in apparel &amp; fashion:
pick one painful, well-bounded problem — for most teams that's broken size sets and end-of-season markdowns — and put a
narrow AI layer on the ERP data you already have.
What that looks like in practice:
- Week 1: connect read-only to the ERP, baseline the problem with your data
- Week 2-3: pilot size-curve planning and season-buy optimization that reads straight from your ERP
- Then: keep it only if the numbers justify it
No new platform, no long IT project. Would a 15-minute walkthrough this week or
next work? {{CALENDLY_URL}}
Best,
{{SENDER_NAME}}</t>
        </is>
      </c>
      <c r="Z171" t="inlineStr">
        <is>
          <t>Should I stay or should I go, Valerie?</t>
        </is>
      </c>
      <c r="AA171" s="3" t="inlineStr">
        <is>
          <t>Hi Valerie,
I'll close the loop here — inbox zero is sacred.
If broken size sets and end-of-season markdowns becomes a priority at Aditya Birla Fashion and Retail Ltd. this year, we're a 15-minute
conversation away: {{CALENDLY_URL}}. If it's easier, I can also send a
one-page overview of size-curve planning and season-buy optimization that reads straight from your ERP that you can forward internally — just reply
"send it".
Either way, thanks for reading, and good luck this quarter.
Best,
{{SENDER_NAME}}
(Reply "unsubscribe" and you won't hear from me again.)</t>
        </is>
      </c>
      <c r="AB171" t="inlineStr">
        <is>
          <t>Draft</t>
        </is>
      </c>
      <c r="AC171" t="n">
        <v>0</v>
      </c>
      <c r="AD171" t="inlineStr"/>
      <c r="AE171" t="inlineStr"/>
      <c r="AF171" t="inlineStr"/>
    </row>
    <row r="172">
      <c r="A172" t="inlineStr">
        <is>
          <t>Bernardie</t>
        </is>
      </c>
      <c r="B172" t="inlineStr">
        <is>
          <t>Strydom</t>
        </is>
      </c>
      <c r="C172" t="inlineStr">
        <is>
          <t>Regional Business Partner (Projects and FP\&amp;A) - Africa &amp; Middle-East</t>
        </is>
      </c>
      <c r="D172" t="inlineStr">
        <is>
          <t>UPL</t>
        </is>
      </c>
      <c r="E172" t="inlineStr">
        <is>
          <t>bernardie.strydom@upl-ltd.com</t>
        </is>
      </c>
      <c r="F172" t="n">
        <v>12000</v>
      </c>
      <c r="G172" t="inlineStr">
        <is>
          <t>farming</t>
        </is>
      </c>
      <c r="H172" t="inlineStr">
        <is>
          <t>http://www.linkedin.com/in/bernardie-strydom-68a4b510</t>
        </is>
      </c>
      <c r="I172" t="inlineStr">
        <is>
          <t>https://upl-ltd.com</t>
        </is>
      </c>
      <c r="J172" t="inlineStr">
        <is>
          <t>Durban</t>
        </is>
      </c>
      <c r="K172" t="inlineStr">
        <is>
          <t>KwaZulu-Natal</t>
        </is>
      </c>
      <c r="L172" t="inlineStr">
        <is>
          <t>South Africa</t>
        </is>
      </c>
      <c r="M172" t="n">
        <v>5508517000</v>
      </c>
      <c r="N172" s="5" t="n">
        <v>55</v>
      </c>
      <c r="O172" s="5" t="inlineStr">
        <is>
          <t>C - Nurture</t>
        </is>
      </c>
      <c r="P172" t="inlineStr">
        <is>
          <t>Non-ICP</t>
        </is>
      </c>
      <c r="Q172" t="inlineStr">
        <is>
          <t>Non-ICP / Ops/Tech/Finance/Commercial</t>
        </is>
      </c>
      <c r="R172" t="inlineStr"/>
      <c r="S172" s="3" t="inlineStr">
        <is>
          <t>Hi Bernardie, your work as Regional Business Partner (Projects and FP\&amp;A) - Africa &amp; Middle-East at UPL caught my eye. We build small AI use cases that sit on top of existing ERPs — think getting the repetitive ERP grunt work off your team's plate. Would be glad to connect.</t>
        </is>
      </c>
      <c r="T172" s="3" t="inlineStr">
        <is>
          <t>Thanks for connecting, Bernardie. Quick context: we ship procurement price forecasting and supply planning connected to your ERP. Teams typically start with one narrow use case and see results in weeks, not an ERP-project timeline. Worth a short look for UPL?</t>
        </is>
      </c>
      <c r="U172" s="3" t="inlineStr">
        <is>
          <t>Bernardie, I'll leave this here rather than keep nudging — if volatile procurement prices and manual arrival planning ever climbs the priority list at UPL, a 15-minute call is all it takes to see if there's a fit. Either way, good luck this quarter.</t>
        </is>
      </c>
      <c r="V172" t="inlineStr">
        <is>
          <t>Bernardie, a faster fix for volatile procurement prices</t>
        </is>
      </c>
      <c r="W172" s="3" t="inlineStr">
        <is>
          <t>Hi Bernardie,
As Regional Business Partner (Projects and FP\&amp;A) - Africa &amp; Middle-East at UPL, you likely see volatile procurement prices and manual arrival planning more closely than anyone.
We build AI solutions that plug into your existing ERP for small, high-impact use cases across retail ecosystems — starting with procurement price forecasting and supply planning connected to your ERP. No rip-and-replace: it reads
from and writes back to the ERP you already run, and one contained use case is
usually live in weeks.
For someone in your seat, the payoff is getting the repetitive ERP grunt work off your team's plate.
Open to a 15-minute call to see if there's a fit for UPL?
Best,
{{SENDER_NAME}}
{{SENDER_EMAIL}} | Book directly: {{CALENDLY_URL}}
P.S. If this isn't relevant, reply "no thanks" and I won't follow up again.</t>
        </is>
      </c>
      <c r="X172" t="inlineStr">
        <is>
          <t>Bernardie — the 3-week pilot version</t>
        </is>
      </c>
      <c r="Y172" s="3" t="inlineStr">
        <is>
          <t>Hi Bernardie,
Following up on my last note. The pattern that works in farming:
pick one painful, well-bounded problem — for most teams that's volatile procurement prices and manual arrival planning — and put a
narrow AI layer on the ERP data you already have.
What that looks like in practice:
- Week 1: connect read-only to the ERP, baseline the problem with your data
- Week 2-3: pilot procurement price forecasting and supply planning connected to your ERP
- Then: keep it only if the numbers justify it
No new platform, no long IT project. Would a 15-minute walkthrough this week or
next work? {{CALENDLY_URL}}
Best,
{{SENDER_NAME}}</t>
        </is>
      </c>
      <c r="Z172" t="inlineStr">
        <is>
          <t>Should I stay or should I go, Bernardie?</t>
        </is>
      </c>
      <c r="AA172" s="3" t="inlineStr">
        <is>
          <t>Hi Bernardie,
I'll close the loop here — inbox zero is sacred.
If volatile procurement prices and manual arrival planning becomes a priority at UPL this year, we're a 15-minute
conversation away: {{CALENDLY_URL}}. If it's easier, I can also send a
one-page overview of procurement price forecasting and supply planning connected to your ERP that you can forward internally — just reply
"send it".
Either way, thanks for reading, and good luck this quarter.
Best,
{{SENDER_NAME}}
(Reply "unsubscribe" and you won't hear from me again.)</t>
        </is>
      </c>
      <c r="AB172" t="inlineStr">
        <is>
          <t>Draft</t>
        </is>
      </c>
      <c r="AC172" t="n">
        <v>0</v>
      </c>
      <c r="AD172" t="inlineStr"/>
      <c r="AE172" t="inlineStr"/>
      <c r="AF172" t="inlineStr"/>
    </row>
    <row r="173">
      <c r="A173" t="inlineStr">
        <is>
          <t>Apeksha</t>
        </is>
      </c>
      <c r="B173" t="inlineStr">
        <is>
          <t>Gupta</t>
        </is>
      </c>
      <c r="C173" t="inlineStr">
        <is>
          <t>Chief Marketing &amp; Growth Officer - Galeries Lafayette</t>
        </is>
      </c>
      <c r="D173" t="inlineStr">
        <is>
          <t>Aditya Birla Fashion and Retail Ltd.</t>
        </is>
      </c>
      <c r="E173" t="inlineStr">
        <is>
          <t>apeksha.gupta@abfrl.adityabirla.com</t>
        </is>
      </c>
      <c r="F173" t="n">
        <v>27000</v>
      </c>
      <c r="G173" t="inlineStr">
        <is>
          <t>apparel &amp; fashion</t>
        </is>
      </c>
      <c r="H173" t="inlineStr">
        <is>
          <t>http://www.linkedin.com/in/apeksha-gupta-1691b44</t>
        </is>
      </c>
      <c r="I173" t="inlineStr">
        <is>
          <t>https://abfrl.com</t>
        </is>
      </c>
      <c r="J173" t="inlineStr">
        <is>
          <t>Mumbai</t>
        </is>
      </c>
      <c r="K173" t="inlineStr">
        <is>
          <t>Maharashtra</t>
        </is>
      </c>
      <c r="L173" t="inlineStr">
        <is>
          <t>India</t>
        </is>
      </c>
      <c r="M173" t="n">
        <v>1550313000</v>
      </c>
      <c r="N173" s="6" t="n">
        <v>52</v>
      </c>
      <c r="O173" s="6" t="inlineStr">
        <is>
          <t>D - Low</t>
        </is>
      </c>
      <c r="P173" t="inlineStr">
        <is>
          <t>Non-ICP</t>
        </is>
      </c>
      <c r="Q173" t="inlineStr">
        <is>
          <t>Non-ICP / Sales/Marketing</t>
        </is>
      </c>
      <c r="R173" t="inlineStr"/>
      <c r="S173" s="3" t="inlineStr"/>
      <c r="T173" s="3" t="inlineStr"/>
      <c r="U173" s="3" t="inlineStr"/>
      <c r="V173" t="inlineStr"/>
      <c r="W173" s="3" t="inlineStr"/>
      <c r="X173" t="inlineStr"/>
      <c r="Y173" s="3" t="inlineStr"/>
      <c r="Z173" t="inlineStr"/>
      <c r="AA173" s="3" t="inlineStr"/>
      <c r="AB173" t="inlineStr">
        <is>
          <t>Parked - Low Score</t>
        </is>
      </c>
      <c r="AC173" t="n">
        <v>0</v>
      </c>
      <c r="AD173" t="inlineStr"/>
      <c r="AE173" t="inlineStr"/>
      <c r="AF173" t="inlineStr"/>
    </row>
    <row r="174">
      <c r="A174" t="inlineStr">
        <is>
          <t>Puneet</t>
        </is>
      </c>
      <c r="B174" t="inlineStr">
        <is>
          <t>Sewra</t>
        </is>
      </c>
      <c r="C174" t="inlineStr">
        <is>
          <t>Chief Marketing Officer \</t>
        </is>
      </c>
      <c r="D174" t="inlineStr">
        <is>
          <t>TCNS</t>
        </is>
      </c>
      <c r="E174" t="inlineStr">
        <is>
          <t>Aditya Birla Fashion and Retail Ltd.</t>
        </is>
      </c>
      <c r="G174" t="inlineStr"/>
      <c r="H174" t="inlineStr">
        <is>
          <t>apparel &amp; fashion</t>
        </is>
      </c>
      <c r="I174" t="inlineStr">
        <is>
          <t>http://www.linkedin.com/in/puneet-sewra</t>
        </is>
      </c>
      <c r="J174" t="inlineStr">
        <is>
          <t>http://www.linkedin.com/company/abfrl</t>
        </is>
      </c>
      <c r="K174" t="inlineStr">
        <is>
          <t>New Delhi</t>
        </is>
      </c>
      <c r="L174" t="inlineStr">
        <is>
          <t>Delhi</t>
        </is>
      </c>
      <c r="N174" s="6" t="n">
        <v>46</v>
      </c>
      <c r="O174" s="6" t="inlineStr">
        <is>
          <t>D - Low</t>
        </is>
      </c>
      <c r="P174" t="inlineStr">
        <is>
          <t>Tier 2 - VP</t>
        </is>
      </c>
      <c r="Q174" t="inlineStr">
        <is>
          <t>VP / Sales/Marketing</t>
        </is>
      </c>
      <c r="R174" t="inlineStr"/>
      <c r="S174" s="3" t="inlineStr"/>
      <c r="T174" s="3" t="inlineStr"/>
      <c r="U174" s="3" t="inlineStr"/>
      <c r="V174" t="inlineStr"/>
      <c r="W174" s="3" t="inlineStr"/>
      <c r="X174" t="inlineStr"/>
      <c r="Y174" s="3" t="inlineStr"/>
      <c r="Z174" t="inlineStr"/>
      <c r="AA174" s="3" t="inlineStr"/>
      <c r="AB174" t="inlineStr">
        <is>
          <t>Parked - Low Score</t>
        </is>
      </c>
      <c r="AC174" t="n">
        <v>0</v>
      </c>
      <c r="AD174" t="inlineStr"/>
      <c r="AE174" t="inlineStr"/>
      <c r="AF174" t="inlineStr"/>
    </row>
    <row r="175">
      <c r="A175" t="inlineStr">
        <is>
          <t>Nitin</t>
        </is>
      </c>
      <c r="B175" t="inlineStr">
        <is>
          <t>Bhalerao</t>
        </is>
      </c>
      <c r="C175" t="inlineStr">
        <is>
          <t>cmo doctor chief medical officer</t>
        </is>
      </c>
      <c r="D175" t="inlineStr">
        <is>
          <t>Indo Rama Synthetics (I) Ltd.</t>
        </is>
      </c>
      <c r="E175" t="inlineStr">
        <is>
          <t>nitin.bhalerao@indorama-ind.com</t>
        </is>
      </c>
      <c r="F175" t="n">
        <v>1500</v>
      </c>
      <c r="G175" t="inlineStr">
        <is>
          <t>textiles</t>
        </is>
      </c>
      <c r="H175" t="inlineStr">
        <is>
          <t>http://www.linkedin.com/in/nitin-bhalerao-96582027</t>
        </is>
      </c>
      <c r="I175" t="inlineStr">
        <is>
          <t>https://indoramaindia.com</t>
        </is>
      </c>
      <c r="J175" t="inlineStr">
        <is>
          <t>Nagpur</t>
        </is>
      </c>
      <c r="K175" t="inlineStr">
        <is>
          <t>Maharashtra</t>
        </is>
      </c>
      <c r="L175" t="inlineStr">
        <is>
          <t>India</t>
        </is>
      </c>
      <c r="M175" t="n">
        <v>503214000</v>
      </c>
      <c r="N175" s="6" t="n">
        <v>43</v>
      </c>
      <c r="O175" s="6" t="inlineStr">
        <is>
          <t>D - Low</t>
        </is>
      </c>
      <c r="P175" t="inlineStr">
        <is>
          <t>Non-ICP</t>
        </is>
      </c>
      <c r="Q175" t="inlineStr">
        <is>
          <t>Non-ICP / Support function</t>
        </is>
      </c>
      <c r="R175" t="inlineStr"/>
      <c r="S175" s="3" t="inlineStr"/>
      <c r="T175" s="3" t="inlineStr"/>
      <c r="U175" s="3" t="inlineStr"/>
      <c r="V175" t="inlineStr"/>
      <c r="W175" s="3" t="inlineStr"/>
      <c r="X175" t="inlineStr"/>
      <c r="Y175" s="3" t="inlineStr"/>
      <c r="Z175" t="inlineStr"/>
      <c r="AA175" s="3" t="inlineStr"/>
      <c r="AB175" t="inlineStr">
        <is>
          <t>Parked - Low Score</t>
        </is>
      </c>
      <c r="AC175" t="n">
        <v>0</v>
      </c>
      <c r="AD175" t="inlineStr"/>
      <c r="AE175" t="inlineStr"/>
      <c r="AF175" t="inlineStr"/>
    </row>
    <row r="176">
      <c r="A176" t="inlineStr">
        <is>
          <t>Mihir</t>
        </is>
      </c>
      <c r="B176" t="inlineStr">
        <is>
          <t>Mahale</t>
        </is>
      </c>
      <c r="C176" t="inlineStr">
        <is>
          <t>HR Business Partner - Consumer Products</t>
        </is>
      </c>
      <c r="D176" t="inlineStr">
        <is>
          <t>Bajaj Electricals Ltd</t>
        </is>
      </c>
      <c r="E176" t="inlineStr">
        <is>
          <t>mihir.mahale@bajajelectricals.com</t>
        </is>
      </c>
      <c r="F176" t="n">
        <v>2000</v>
      </c>
      <c r="G176" t="inlineStr">
        <is>
          <t>electrical/electronic manufacturing</t>
        </is>
      </c>
      <c r="H176" t="inlineStr">
        <is>
          <t>http://www.linkedin.com/in/mihir-mahale-55295860</t>
        </is>
      </c>
      <c r="I176" t="inlineStr">
        <is>
          <t>https://bajajelectricals.com</t>
        </is>
      </c>
      <c r="J176" t="inlineStr">
        <is>
          <t>Mumbai</t>
        </is>
      </c>
      <c r="K176" t="inlineStr">
        <is>
          <t>Maharashtra</t>
        </is>
      </c>
      <c r="L176" t="inlineStr">
        <is>
          <t>India</t>
        </is>
      </c>
      <c r="M176" t="n">
        <v>569991000</v>
      </c>
      <c r="N176" s="6" t="n">
        <v>43</v>
      </c>
      <c r="O176" s="6" t="inlineStr">
        <is>
          <t>D - Low</t>
        </is>
      </c>
      <c r="P176" t="inlineStr">
        <is>
          <t>Non-ICP</t>
        </is>
      </c>
      <c r="Q176" t="inlineStr">
        <is>
          <t>Non-ICP / Support function</t>
        </is>
      </c>
      <c r="R176" t="inlineStr"/>
      <c r="S176" s="3" t="inlineStr"/>
      <c r="T176" s="3" t="inlineStr"/>
      <c r="U176" s="3" t="inlineStr"/>
      <c r="V176" t="inlineStr"/>
      <c r="W176" s="3" t="inlineStr"/>
      <c r="X176" t="inlineStr"/>
      <c r="Y176" s="3" t="inlineStr"/>
      <c r="Z176" t="inlineStr"/>
      <c r="AA176" s="3" t="inlineStr"/>
      <c r="AB176" t="inlineStr">
        <is>
          <t>Parked - Low Score</t>
        </is>
      </c>
      <c r="AC176" t="n">
        <v>0</v>
      </c>
      <c r="AD176" t="inlineStr"/>
      <c r="AE176" t="inlineStr"/>
      <c r="AF176" t="inlineStr"/>
    </row>
    <row r="177">
      <c r="A177" t="inlineStr">
        <is>
          <t>Vidhu</t>
        </is>
      </c>
      <c r="B177" t="inlineStr">
        <is>
          <t>Arora</t>
        </is>
      </c>
      <c r="C177" t="inlineStr">
        <is>
          <t>Chief Human Resources Officer</t>
        </is>
      </c>
      <c r="D177" t="inlineStr">
        <is>
          <t>Tasty Bite Eatables Ltd</t>
        </is>
      </c>
      <c r="E177" t="inlineStr">
        <is>
          <t>vidhu@tastybite.com</t>
        </is>
      </c>
      <c r="F177" t="n">
        <v>270</v>
      </c>
      <c r="G177" t="inlineStr">
        <is>
          <t>food production</t>
        </is>
      </c>
      <c r="H177" t="inlineStr">
        <is>
          <t>http://www.linkedin.com/in/vidhuarora</t>
        </is>
      </c>
      <c r="I177" t="inlineStr">
        <is>
          <t>https://tastybite.co.in</t>
        </is>
      </c>
      <c r="J177" t="inlineStr">
        <is>
          <t>New Delhi</t>
        </is>
      </c>
      <c r="K177" t="inlineStr">
        <is>
          <t>Delhi</t>
        </is>
      </c>
      <c r="L177" t="inlineStr">
        <is>
          <t>India</t>
        </is>
      </c>
      <c r="M177" t="n">
        <v>65339000</v>
      </c>
      <c r="N177" s="6" t="n">
        <v>38</v>
      </c>
      <c r="O177" s="6" t="inlineStr">
        <is>
          <t>D - Low</t>
        </is>
      </c>
      <c r="P177" t="inlineStr">
        <is>
          <t>Non-ICP</t>
        </is>
      </c>
      <c r="Q177" t="inlineStr">
        <is>
          <t>Non-ICP / Support function</t>
        </is>
      </c>
      <c r="R177" t="inlineStr"/>
      <c r="S177" s="3" t="inlineStr"/>
      <c r="T177" s="3" t="inlineStr"/>
      <c r="U177" s="3" t="inlineStr"/>
      <c r="V177" t="inlineStr"/>
      <c r="W177" s="3" t="inlineStr"/>
      <c r="X177" t="inlineStr"/>
      <c r="Y177" s="3" t="inlineStr"/>
      <c r="Z177" t="inlineStr"/>
      <c r="AA177" s="3" t="inlineStr"/>
      <c r="AB177" t="inlineStr">
        <is>
          <t>Parked - Low Score</t>
        </is>
      </c>
      <c r="AC177" t="n">
        <v>0</v>
      </c>
      <c r="AD177" t="inlineStr"/>
      <c r="AE177" t="inlineStr"/>
      <c r="AF177" t="inlineStr"/>
    </row>
  </sheetData>
  <autoFilter ref="A1:AF177"/>
  <dataValidations count="2">
    <dataValidation sqref="AB2:AB177" showDropDown="0" showInputMessage="0" showErrorMessage="0" allowBlank="1" type="list">
      <formula1>"Draft,Approved,Sent - Step 1,Sent - Step 2,Sent - Step 3,Replied,Bounced,Do Not Contact"</formula1>
    </dataValidation>
    <dataValidation sqref="AC2:AC177" showDropDown="0" showInputMessage="0" showErrorMessage="0" allowBlank="1" type="list">
      <formula1>"0,1,2,3"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2" customWidth="1" min="1" max="1"/>
    <col width="14" customWidth="1" min="2" max="2"/>
  </cols>
  <sheetData>
    <row r="1">
      <c r="A1" s="7" t="inlineStr">
        <is>
          <t>Campaign Report — AI on ERP for Retail Ecosystems</t>
        </is>
      </c>
    </row>
    <row r="2">
      <c r="A2" t="inlineStr">
        <is>
          <t>Generated 2026-07-08 · live formulas — refresh as Status changes</t>
        </is>
      </c>
    </row>
    <row r="4">
      <c r="A4" s="8" t="inlineStr">
        <is>
          <t>Pipeline</t>
        </is>
      </c>
    </row>
    <row r="5">
      <c r="A5" t="inlineStr">
        <is>
          <t>Total leads</t>
        </is>
      </c>
      <c r="B5">
        <f>COUNTA('Leads &amp; Sequences'!E2:E10000)</f>
        <v/>
      </c>
    </row>
    <row r="6">
      <c r="A6" t="inlineStr">
        <is>
          <t>Average lead score</t>
        </is>
      </c>
      <c r="B6">
        <f>ROUND(AVERAGE('Leads &amp; Sequences'!N2:N10000),1)</f>
        <v/>
      </c>
    </row>
    <row r="7">
      <c r="A7" t="inlineStr">
        <is>
          <t>Grade A - Hot (≥90)</t>
        </is>
      </c>
      <c r="B7">
        <f>COUNTIF('Leads &amp; Sequences'!O2:O10000,"A*")</f>
        <v/>
      </c>
    </row>
    <row r="8">
      <c r="A8" t="inlineStr">
        <is>
          <t>Grade B - Warm (75-89)</t>
        </is>
      </c>
      <c r="B8">
        <f>COUNTIF('Leads &amp; Sequences'!O2:O10000,"B*")</f>
        <v/>
      </c>
    </row>
    <row r="9">
      <c r="A9" t="inlineStr">
        <is>
          <t>Grade C - Nurture (55-74)</t>
        </is>
      </c>
      <c r="B9">
        <f>COUNTIF('Leads &amp; Sequences'!O2:O10000,"C*")</f>
        <v/>
      </c>
    </row>
    <row r="10">
      <c r="A10" t="inlineStr">
        <is>
          <t>Grade D - Low (&lt;55)</t>
        </is>
      </c>
      <c r="B10">
        <f>COUNTIF('Leads &amp; Sequences'!O2:O10000,"D*")</f>
        <v/>
      </c>
    </row>
    <row r="12">
      <c r="A12" s="8" t="inlineStr">
        <is>
          <t>Sequence funnel</t>
        </is>
      </c>
    </row>
    <row r="13">
      <c r="A13" t="inlineStr">
        <is>
          <t>Draft</t>
        </is>
      </c>
      <c r="B13">
        <f>COUNTIF('Leads &amp; Sequences'!AB2:AB10000,"Draft")</f>
        <v/>
      </c>
    </row>
    <row r="14">
      <c r="A14" t="inlineStr">
        <is>
          <t>Approved</t>
        </is>
      </c>
      <c r="B14">
        <f>COUNTIF('Leads &amp; Sequences'!AB2:AB10000,"Approved")</f>
        <v/>
      </c>
    </row>
    <row r="15">
      <c r="A15" t="inlineStr">
        <is>
          <t>Sent - Step 1</t>
        </is>
      </c>
      <c r="B15">
        <f>COUNTIF('Leads &amp; Sequences'!AB2:AB10000,"Sent - Step 1")</f>
        <v/>
      </c>
    </row>
    <row r="16">
      <c r="A16" t="inlineStr">
        <is>
          <t>Sent - Step 2</t>
        </is>
      </c>
      <c r="B16">
        <f>COUNTIF('Leads &amp; Sequences'!AB2:AB10000,"Sent - Step 2")</f>
        <v/>
      </c>
    </row>
    <row r="17">
      <c r="A17" t="inlineStr">
        <is>
          <t>Sent - Step 3</t>
        </is>
      </c>
      <c r="B17">
        <f>COUNTIF('Leads &amp; Sequences'!AB2:AB10000,"Sent - Step 3")</f>
        <v/>
      </c>
    </row>
    <row r="18">
      <c r="A18" t="inlineStr">
        <is>
          <t>Replied</t>
        </is>
      </c>
      <c r="B18">
        <f>COUNTIF('Leads &amp; Sequences'!AB2:AB10000,"Replied")</f>
        <v/>
      </c>
    </row>
    <row r="19">
      <c r="A19" t="inlineStr">
        <is>
          <t>Bounced</t>
        </is>
      </c>
      <c r="B19">
        <f>COUNTIF('Leads &amp; Sequences'!AB2:AB10000,"Bounced")</f>
        <v/>
      </c>
    </row>
    <row r="20">
      <c r="A20" t="inlineStr">
        <is>
          <t>Do Not Contact</t>
        </is>
      </c>
      <c r="B20">
        <f>COUNTIF('Leads &amp; Sequences'!AB2:AB10000,"Do Not Contact")</f>
        <v/>
      </c>
    </row>
    <row r="21">
      <c r="A21" t="inlineStr">
        <is>
          <t>Total sent (any step)</t>
        </is>
      </c>
      <c r="B21">
        <f>COUNTIF('Leads &amp; Sequences'!AB2:AB10000,"Sent*")+B18</f>
        <v/>
      </c>
    </row>
    <row r="22">
      <c r="A22" t="inlineStr">
        <is>
          <t>Reply rate</t>
        </is>
      </c>
      <c r="B22" s="9">
        <f>IFERROR(B18/B21,0)</f>
        <v/>
      </c>
    </row>
    <row r="24">
      <c r="A24" s="8" t="inlineStr">
        <is>
          <t>Leads by industry</t>
        </is>
      </c>
    </row>
    <row r="25">
      <c r="A25" t="inlineStr">
        <is>
          <t>apparel &amp; fashion</t>
        </is>
      </c>
      <c r="B25">
        <f>COUNTIF('Leads &amp; Sequences'!G2:G10000,"apparel &amp; fashion")</f>
        <v/>
      </c>
    </row>
    <row r="26">
      <c r="A26" t="inlineStr">
        <is>
          <t>consumer goods</t>
        </is>
      </c>
      <c r="B26">
        <f>COUNTIF('Leads &amp; Sequences'!G2:G10000,"consumer goods")</f>
        <v/>
      </c>
    </row>
    <row r="27">
      <c r="A27" t="inlineStr">
        <is>
          <t>electrical/electronic manufacturing</t>
        </is>
      </c>
      <c r="B27">
        <f>COUNTIF('Leads &amp; Sequences'!G2:G10000,"electrical/electronic manufacturing")</f>
        <v/>
      </c>
    </row>
    <row r="28">
      <c r="A28" t="inlineStr">
        <is>
          <t>farming</t>
        </is>
      </c>
      <c r="B28">
        <f>COUNTIF('Leads &amp; Sequences'!G2:G10000,"farming")</f>
        <v/>
      </c>
    </row>
    <row r="29">
      <c r="A29" t="inlineStr">
        <is>
          <t>food &amp; beverages</t>
        </is>
      </c>
      <c r="B29">
        <f>COUNTIF('Leads &amp; Sequences'!G2:G10000,"food &amp; beverages")</f>
        <v/>
      </c>
    </row>
    <row r="30">
      <c r="A30" t="inlineStr">
        <is>
          <t>food production</t>
        </is>
      </c>
      <c r="B30">
        <f>COUNTIF('Leads &amp; Sequences'!G2:G10000,"food production")</f>
        <v/>
      </c>
    </row>
    <row r="31">
      <c r="A31" t="inlineStr">
        <is>
          <t>furniture</t>
        </is>
      </c>
      <c r="B31">
        <f>COUNTIF('Leads &amp; Sequences'!G2:G10000,"furniture")</f>
        <v/>
      </c>
    </row>
    <row r="32">
      <c r="A32" t="inlineStr">
        <is>
          <t>luxury goods &amp; jewelry</t>
        </is>
      </c>
      <c r="B32">
        <f>COUNTIF('Leads &amp; Sequences'!G2:G10000,"luxury goods &amp; jewelry")</f>
        <v/>
      </c>
    </row>
    <row r="33">
      <c r="A33" t="inlineStr">
        <is>
          <t>restaurants</t>
        </is>
      </c>
      <c r="B33">
        <f>COUNTIF('Leads &amp; Sequences'!G2:G10000,"restaurants")</f>
        <v/>
      </c>
    </row>
    <row r="34">
      <c r="A34" t="inlineStr">
        <is>
          <t>retail</t>
        </is>
      </c>
      <c r="B34">
        <f>COUNTIF('Leads &amp; Sequences'!G2:G10000,"retail")</f>
        <v/>
      </c>
    </row>
    <row r="35">
      <c r="A35" t="inlineStr">
        <is>
          <t>textiles</t>
        </is>
      </c>
      <c r="B35">
        <f>COUNTIF('Leads &amp; Sequences'!G2:G10000,"textiles")</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70" customWidth="1" min="1" max="1"/>
    <col width="34" customWidth="1" min="2" max="2"/>
  </cols>
  <sheetData>
    <row r="1">
      <c r="A1" s="10" t="inlineStr">
        <is>
          <t>Scoring weights</t>
        </is>
      </c>
      <c r="B1" t="inlineStr"/>
    </row>
    <row r="2">
      <c r="A2" t="inlineStr">
        <is>
          <t>ICP title tier (C-suite/Founder 40, VP 30, Director/Head 24, Manager 12, other 5)</t>
        </is>
      </c>
      <c r="B2" t="n">
        <v>40</v>
      </c>
    </row>
    <row r="3">
      <c r="A3" t="inlineStr">
        <is>
          <t>Function relevance (Ops/SC/Tech/Finance high)</t>
        </is>
      </c>
      <c r="B3" t="n">
        <v>15</v>
      </c>
    </row>
    <row r="4">
      <c r="A4" t="inlineStr">
        <is>
          <t>Industry fit (retail ecosystem core 25, adjacent 16, other 6)</t>
        </is>
      </c>
      <c r="B4" t="n">
        <v>25</v>
      </c>
    </row>
    <row r="5">
      <c r="A5" t="inlineStr">
        <is>
          <t>Company scale (employees, mid-market sweet spot)</t>
        </is>
      </c>
      <c r="B5" t="n">
        <v>10</v>
      </c>
    </row>
    <row r="6">
      <c r="A6" t="inlineStr">
        <is>
          <t>Annual revenue</t>
        </is>
      </c>
      <c r="B6" t="n">
        <v>5</v>
      </c>
    </row>
    <row r="7">
      <c r="A7" t="inlineStr">
        <is>
          <t>Data completeness (email + LinkedIn)</t>
        </is>
      </c>
      <c r="B7" t="n">
        <v>5</v>
      </c>
    </row>
    <row r="8">
      <c r="A8" t="inlineStr">
        <is>
          <t>News signal bonus (n8n web-search enrichment)</t>
        </is>
      </c>
      <c r="B8" t="n">
        <v>5</v>
      </c>
    </row>
    <row r="9">
      <c r="A9" s="10" t="inlineStr"/>
      <c r="B9" t="inlineStr"/>
    </row>
    <row r="10">
      <c r="A10" s="10" t="inlineStr">
        <is>
          <t>Grades</t>
        </is>
      </c>
      <c r="B10" t="inlineStr"/>
    </row>
    <row r="11">
      <c r="A11" t="inlineStr">
        <is>
          <t>A - Hot</t>
        </is>
      </c>
      <c r="B11" t="inlineStr">
        <is>
          <t>&gt;= 90</t>
        </is>
      </c>
    </row>
    <row r="12">
      <c r="A12" t="inlineStr">
        <is>
          <t>B - Warm</t>
        </is>
      </c>
      <c r="B12" t="inlineStr">
        <is>
          <t>75-89</t>
        </is>
      </c>
    </row>
    <row r="13">
      <c r="A13" t="inlineStr">
        <is>
          <t>C - Nurture</t>
        </is>
      </c>
      <c r="B13" t="inlineStr">
        <is>
          <t>55-74</t>
        </is>
      </c>
    </row>
    <row r="14">
      <c r="A14" t="inlineStr">
        <is>
          <t>D - Low (parked, no sequence)</t>
        </is>
      </c>
      <c r="B14" t="inlineStr">
        <is>
          <t>&lt; 55</t>
        </is>
      </c>
    </row>
    <row r="15">
      <c r="A15" s="10" t="inlineStr"/>
      <c r="B15" t="inlineStr"/>
    </row>
    <row r="16">
      <c r="A16" s="10" t="inlineStr">
        <is>
          <t>Cadence</t>
        </is>
      </c>
      <c r="B16" t="inlineStr"/>
    </row>
    <row r="17">
      <c r="A17" t="inlineStr">
        <is>
          <t>Step 1 (Day 0)</t>
        </is>
      </c>
      <c r="B17" t="inlineStr">
        <is>
          <t>LinkedIn connection + Email 1</t>
        </is>
      </c>
    </row>
    <row r="18">
      <c r="A18" t="inlineStr">
        <is>
          <t>Step 2 (Day 3)</t>
        </is>
      </c>
      <c r="B18" t="inlineStr">
        <is>
          <t>LinkedIn follow-up 1 + Email 2</t>
        </is>
      </c>
    </row>
    <row r="19">
      <c r="A19" t="inlineStr">
        <is>
          <t>Step 3 (Day 7)</t>
        </is>
      </c>
      <c r="B19" t="inlineStr">
        <is>
          <t>LinkedIn follow-up 2 + Email 3</t>
        </is>
      </c>
    </row>
    <row r="20">
      <c r="A20" t="inlineStr">
        <is>
          <t>Stop conditions</t>
        </is>
      </c>
      <c r="B20" t="inlineStr">
        <is>
          <t>Replied / Bounced / Do Not Contact</t>
        </is>
      </c>
    </row>
    <row r="21">
      <c r="A21" t="inlineStr">
        <is>
          <t>Daily send cap</t>
        </is>
      </c>
      <c r="B2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2026-07-08T20:41:12Z</dcterms:created>
  <dcterms:modified xsi:type="dcterms:W3CDTF">2026-07-08T20:41:12Z</dcterms:modified>
</cp:coreProperties>
</file>